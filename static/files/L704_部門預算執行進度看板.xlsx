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10" customWidth="1" min="5" max="5"/>
    <col width="8" customWidth="1" min="6" max="6"/>
  </cols>
  <sheetData>
    <row r="1" ht="30" customHeight="1">
      <c r="A1" s="1" t="inlineStr">
        <is>
          <t>L704｜部門預算執行進度看板</t>
        </is>
      </c>
    </row>
    <row r="2" ht="18" customHeight="1">
      <c r="A2" s="2" t="inlineStr">
        <is>
          <t>財務主管要看各部門本月預算執行狀況：已用多少、剩多少、哪個快超支——用一張看板呈現。</t>
        </is>
      </c>
    </row>
    <row r="3" ht="20" customHeight="1">
      <c r="A3" s="3" t="inlineStr">
        <is>
          <t>部門</t>
        </is>
      </c>
      <c r="B3" s="3" t="inlineStr">
        <is>
          <t>全年預算</t>
        </is>
      </c>
      <c r="C3" s="3" t="inlineStr">
        <is>
          <t>已執行</t>
        </is>
      </c>
      <c r="D3" s="3" t="inlineStr">
        <is>
          <t>剩餘預算</t>
        </is>
      </c>
      <c r="E3" s="3" t="inlineStr">
        <is>
          <t>執行率</t>
        </is>
      </c>
      <c r="F3" s="3" t="inlineStr">
        <is>
          <t>狀態</t>
        </is>
      </c>
    </row>
    <row r="4" ht="18" customHeight="1">
      <c r="A4" s="4" t="inlineStr">
        <is>
          <t>業務部</t>
        </is>
      </c>
      <c r="B4" s="4" t="n">
        <v>1500000</v>
      </c>
      <c r="C4" s="4" t="n">
        <v>820000</v>
      </c>
      <c r="D4" s="4">
        <f>C4-B4</f>
        <v/>
      </c>
      <c r="E4" s="4">
        <f>C4/B4</f>
        <v/>
      </c>
      <c r="F4" s="4" t="inlineStr"/>
    </row>
    <row r="5" ht="18" customHeight="1">
      <c r="A5" s="5" t="inlineStr">
        <is>
          <t>財務部</t>
        </is>
      </c>
      <c r="B5" s="5" t="n">
        <v>600000</v>
      </c>
      <c r="C5" s="5" t="n">
        <v>312000</v>
      </c>
      <c r="D5" s="5">
        <f>C5-B5</f>
        <v/>
      </c>
      <c r="E5" s="5">
        <f>C5/B5</f>
        <v/>
      </c>
      <c r="F5" s="5" t="inlineStr"/>
    </row>
    <row r="6" ht="18" customHeight="1">
      <c r="A6" s="4" t="inlineStr">
        <is>
          <t>研發部</t>
        </is>
      </c>
      <c r="B6" s="4" t="n">
        <v>1200000</v>
      </c>
      <c r="C6" s="4" t="n">
        <v>780000</v>
      </c>
      <c r="D6" s="4">
        <f>C6-B6</f>
        <v/>
      </c>
      <c r="E6" s="4">
        <f>C6/B6</f>
        <v/>
      </c>
      <c r="F6" s="4" t="inlineStr"/>
    </row>
    <row r="7" ht="18" customHeight="1">
      <c r="A7" s="5" t="inlineStr">
        <is>
          <t>行政部</t>
        </is>
      </c>
      <c r="B7" s="5" t="n">
        <v>400000</v>
      </c>
      <c r="C7" s="5" t="n">
        <v>290000</v>
      </c>
      <c r="D7" s="5">
        <f>C7-B7</f>
        <v/>
      </c>
      <c r="E7" s="5">
        <f>C7/B7</f>
        <v/>
      </c>
      <c r="F7" s="5" t="inlineStr"/>
    </row>
    <row r="8" ht="18" customHeight="1">
      <c r="A8" s="4" t="inlineStr">
        <is>
          <t>倉管部</t>
        </is>
      </c>
      <c r="B8" s="4" t="n">
        <v>350000</v>
      </c>
      <c r="C8" s="4" t="n">
        <v>310000</v>
      </c>
      <c r="D8" s="4">
        <f>C8-B8</f>
        <v/>
      </c>
      <c r="E8" s="4">
        <f>C8/B8</f>
        <v/>
      </c>
      <c r="F8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1｜執行率狀態</t>
        </is>
      </c>
    </row>
    <row r="5" ht="60" customHeight="1">
      <c r="A5" s="8" t="inlineStr">
        <is>
          <t>請在 F欄加一個 IFS 公式：執行率超過85%顯示「⚠️ 注意」，超過70%顯示「正常」，其他顯示「充裕」。</t>
        </is>
      </c>
    </row>
    <row r="7" ht="20" customHeight="1">
      <c r="A7" s="7" t="inlineStr">
        <is>
          <t>Step 2｜視覺化看板</t>
        </is>
      </c>
    </row>
    <row r="8" ht="60" customHeight="1">
      <c r="A8" s="8" t="inlineStr">
        <is>
          <t>請幫我在同一個工作表做一個預算執行看板：左邊放表格，右邊放一個顯示各部門執行率的水平橫條圖。</t>
        </is>
      </c>
    </row>
    <row r="10" ht="20" customHeight="1">
      <c r="A10" s="7" t="inlineStr">
        <is>
          <t>Step 3｜執行摘要</t>
        </is>
      </c>
    </row>
    <row r="11" ht="60" customHeight="1">
      <c r="A11" s="8" t="inlineStr">
        <is>
          <t>請根據這份預算數據，寫一段給財務主管看的預算執行摘要，特別說明需要關注的部門。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