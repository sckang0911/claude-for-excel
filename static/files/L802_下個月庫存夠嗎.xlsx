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庫存現況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<sst xmlns="http://schemas.openxmlformats.org/spreadsheetml/2006/main" count="138" uniqueCount="105">
  <si>
    <r>
      <rPr>
        <b val="true"/>
        <sz val="13"/>
        <color rgb="FFFFFFFF"/>
        <rFont val="DejaVu Sans"/>
        <family val="2"/>
      </rPr>
      <t xml:space="preserve">庫存分析表 — 醫材耗材 </t>
    </r>
    <r>
      <rPr>
        <b val="true"/>
        <sz val="13"/>
        <color rgb="FFFFFFFF"/>
        <rFont val="Arial"/>
        <family val="0"/>
        <charset val="1"/>
      </rPr>
      <t xml:space="preserve">2026</t>
    </r>
    <r>
      <rPr>
        <b val="true"/>
        <sz val="13"/>
        <color rgb="FFFFFFFF"/>
        <rFont val="DejaVu Sans"/>
        <family val="2"/>
      </rPr>
      <t xml:space="preserve">年</t>
    </r>
    <r>
      <rPr>
        <b val="true"/>
        <sz val="13"/>
        <color rgb="FFFFFFFF"/>
        <rFont val="Arial"/>
        <family val="0"/>
        <charset val="1"/>
      </rPr>
      <t xml:space="preserve">1</t>
    </r>
    <r>
      <rPr>
        <b val="true"/>
        <sz val="13"/>
        <color rgb="FFFFFFFF"/>
        <rFont val="DejaVu Sans"/>
        <family val="2"/>
      </rPr>
      <t xml:space="preserve">月預測</t>
    </r>
  </si>
  <si>
    <r>
      <rPr>
        <sz val="9"/>
        <color rgb="FF94A3B8"/>
        <rFont val="DejaVu Sans"/>
        <family val="2"/>
      </rPr>
      <t xml:space="preserve">製表日期：</t>
    </r>
    <r>
      <rPr>
        <sz val="9"/>
        <color rgb="FF94A3B8"/>
        <rFont val="Arial"/>
        <family val="0"/>
        <charset val="1"/>
      </rPr>
      <t xml:space="preserve">2026-01-01</t>
    </r>
    <r>
      <rPr>
        <sz val="9"/>
        <color rgb="FF94A3B8"/>
        <rFont val="DejaVu Sans"/>
        <family val="2"/>
      </rPr>
      <t xml:space="preserve">　　單位：件</t>
    </r>
    <r>
      <rPr>
        <sz val="9"/>
        <color rgb="FF94A3B8"/>
        <rFont val="Arial"/>
        <family val="0"/>
        <charset val="1"/>
      </rPr>
      <t xml:space="preserve">/</t>
    </r>
    <r>
      <rPr>
        <sz val="9"/>
        <color rgb="FF94A3B8"/>
        <rFont val="DejaVu Sans"/>
        <family val="2"/>
      </rPr>
      <t xml:space="preserve">盒</t>
    </r>
    <r>
      <rPr>
        <sz val="9"/>
        <color rgb="FF94A3B8"/>
        <rFont val="Arial"/>
        <family val="0"/>
        <charset val="1"/>
      </rPr>
      <t xml:space="preserve">/</t>
    </r>
    <r>
      <rPr>
        <sz val="9"/>
        <color rgb="FF94A3B8"/>
        <rFont val="DejaVu Sans"/>
        <family val="2"/>
      </rPr>
      <t xml:space="preserve">組　　預測基準：過去</t>
    </r>
    <r>
      <rPr>
        <sz val="9"/>
        <color rgb="FF94A3B8"/>
        <rFont val="Arial"/>
        <family val="0"/>
        <charset val="1"/>
      </rPr>
      <t xml:space="preserve">12</t>
    </r>
    <r>
      <rPr>
        <sz val="9"/>
        <color rgb="FF94A3B8"/>
        <rFont val="DejaVu Sans"/>
        <family val="2"/>
      </rPr>
      <t xml:space="preserve">個月平均需求</t>
    </r>
  </si>
  <si>
    <t xml:space="preserve">料號</t>
  </si>
  <si>
    <t xml:space="preserve">品名</t>
  </si>
  <si>
    <t xml:space="preserve">規格</t>
  </si>
  <si>
    <t xml:space="preserve">類別</t>
  </si>
  <si>
    <t xml:space="preserve">供應商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</si>
  <si>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</si>
  <si>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</si>
  <si>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</si>
  <si>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</si>
  <si>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</si>
  <si>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</si>
  <si>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</si>
  <si>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</si>
  <si>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</si>
  <si>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</si>
  <si>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</si>
  <si>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</si>
  <si>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r>
      <rPr>
        <b val="true"/>
        <sz val="8"/>
        <color rgb="FF0F172A"/>
        <rFont val="Arial"/>
        <family val="0"/>
        <charset val="1"/>
      </rPr>
      <t xml:space="preserve">12</t>
    </r>
    <r>
      <rPr>
        <b val="true"/>
        <sz val="8"/>
        <color rgb="FF0F172A"/>
        <rFont val="DejaVu Sans"/>
        <family val="2"/>
      </rPr>
      <t xml:space="preserve">月平均需求</t>
    </r>
  </si>
  <si>
    <r>
      <rPr>
        <b val="true"/>
        <sz val="8"/>
        <color rgb="FF0F172A"/>
        <rFont val="DejaVu Sans"/>
        <family val="2"/>
      </rPr>
      <t xml:space="preserve">安全庫存
</t>
    </r>
    <r>
      <rPr>
        <b val="true"/>
        <sz val="8"/>
        <color rgb="FF0F172A"/>
        <rFont val="Arial"/>
        <family val="0"/>
        <charset val="1"/>
      </rPr>
      <t xml:space="preserve">(x1.5)</t>
    </r>
  </si>
  <si>
    <t xml:space="preserve">再訂購點</t>
  </si>
  <si>
    <t xml:space="preserve">現有庫存</t>
  </si>
  <si>
    <t xml:space="preserve">在途庫存</t>
  </si>
  <si>
    <t xml:space="preserve">可用庫存</t>
  </si>
  <si>
    <r>
      <rPr>
        <b val="true"/>
        <sz val="8"/>
        <color rgb="FF0F172A"/>
        <rFont val="Arial"/>
        <family val="0"/>
        <charset val="1"/>
      </rPr>
      <t xml:space="preserve">1</t>
    </r>
    <r>
      <rPr>
        <b val="true"/>
        <sz val="8"/>
        <color rgb="FF0F172A"/>
        <rFont val="DejaVu Sans"/>
        <family val="2"/>
      </rPr>
      <t xml:space="preserve">月預測需求</t>
    </r>
  </si>
  <si>
    <t xml:space="preserve">預計缺口</t>
  </si>
  <si>
    <t xml:space="preserve">建議訂購量</t>
  </si>
  <si>
    <t xml:space="preserve">庫存狀態</t>
  </si>
  <si>
    <t xml:space="preserve">M001</t>
  </si>
  <si>
    <t xml:space="preserve">無菌手術手套</t>
  </si>
  <si>
    <t xml:space="preserve">S/M/L</t>
  </si>
  <si>
    <t xml:space="preserve">耗材</t>
  </si>
  <si>
    <t xml:space="preserve">台灣橡膠</t>
  </si>
  <si>
    <t xml:space="preserve">充足</t>
  </si>
  <si>
    <t xml:space="preserve">M002</t>
  </si>
  <si>
    <t xml:space="preserve">一次性注射針筒</t>
  </si>
  <si>
    <t xml:space="preserve">5ml</t>
  </si>
  <si>
    <t xml:space="preserve">長庚醫材</t>
  </si>
  <si>
    <t xml:space="preserve">M003</t>
  </si>
  <si>
    <t xml:space="preserve">醫用口罩</t>
  </si>
  <si>
    <t xml:space="preserve">成人款</t>
  </si>
  <si>
    <t xml:space="preserve">防護</t>
  </si>
  <si>
    <t xml:space="preserve">大銀醫材</t>
  </si>
  <si>
    <t xml:space="preserve">M004</t>
  </si>
  <si>
    <t xml:space="preserve">傷口縫合線</t>
  </si>
  <si>
    <t xml:space="preserve">3-0</t>
  </si>
  <si>
    <t xml:space="preserve">手術</t>
  </si>
  <si>
    <t xml:space="preserve">正峰醫材</t>
  </si>
  <si>
    <t xml:space="preserve">M005</t>
  </si>
  <si>
    <t xml:space="preserve">靜脈留置針</t>
  </si>
  <si>
    <t xml:space="preserve">20G</t>
  </si>
  <si>
    <t xml:space="preserve">M006</t>
  </si>
  <si>
    <t xml:space="preserve">血糖試紙</t>
  </si>
  <si>
    <r>
      <rPr>
        <sz val="9"/>
        <color rgb="FF0F172A"/>
        <rFont val="Arial"/>
        <family val="0"/>
        <charset val="1"/>
      </rPr>
      <t xml:space="preserve">50</t>
    </r>
    <r>
      <rPr>
        <sz val="9"/>
        <color rgb="FF0F172A"/>
        <rFont val="DejaVu Sans"/>
        <family val="2"/>
      </rPr>
      <t xml:space="preserve">片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盒</t>
    </r>
  </si>
  <si>
    <t xml:space="preserve">檢驗</t>
  </si>
  <si>
    <t xml:space="preserve">亞培醫療</t>
  </si>
  <si>
    <t xml:space="preserve">M007</t>
  </si>
  <si>
    <t xml:space="preserve">心電圖記錄紙</t>
  </si>
  <si>
    <t xml:space="preserve">50mm</t>
  </si>
  <si>
    <t xml:space="preserve">設備耗材</t>
  </si>
  <si>
    <t xml:space="preserve">飛利浦代理</t>
  </si>
  <si>
    <t xml:space="preserve">M008</t>
  </si>
  <si>
    <t xml:space="preserve">導尿管</t>
  </si>
  <si>
    <t xml:space="preserve">Fr14</t>
  </si>
  <si>
    <t xml:space="preserve">台塑醫材</t>
  </si>
  <si>
    <t xml:space="preserve">M009</t>
  </si>
  <si>
    <t xml:space="preserve">無菌紗布</t>
  </si>
  <si>
    <t xml:space="preserve">10x10cm</t>
  </si>
  <si>
    <t xml:space="preserve">康芮特</t>
  </si>
  <si>
    <t xml:space="preserve">M010</t>
  </si>
  <si>
    <r>
      <rPr>
        <sz val="9"/>
        <color rgb="FF0F172A"/>
        <rFont val="DejaVu Sans"/>
        <family val="2"/>
      </rPr>
      <t xml:space="preserve">抽血管</t>
    </r>
    <r>
      <rPr>
        <sz val="9"/>
        <color rgb="FF0F172A"/>
        <rFont val="Arial"/>
        <family val="0"/>
        <charset val="1"/>
      </rPr>
      <t xml:space="preserve">(</t>
    </r>
    <r>
      <rPr>
        <sz val="9"/>
        <color rgb="FF0F172A"/>
        <rFont val="DejaVu Sans"/>
        <family val="2"/>
      </rPr>
      <t xml:space="preserve">紫頭</t>
    </r>
    <r>
      <rPr>
        <sz val="9"/>
        <color rgb="FF0F172A"/>
        <rFont val="Arial"/>
        <family val="0"/>
        <charset val="1"/>
      </rPr>
      <t xml:space="preserve">)</t>
    </r>
  </si>
  <si>
    <t xml:space="preserve">3ml EDTA</t>
  </si>
  <si>
    <r>
      <rPr>
        <sz val="9"/>
        <color rgb="FF0F172A"/>
        <rFont val="Arial"/>
        <family val="0"/>
        <charset val="1"/>
      </rPr>
      <t xml:space="preserve">BD</t>
    </r>
    <r>
      <rPr>
        <sz val="9"/>
        <color rgb="FF0F172A"/>
        <rFont val="DejaVu Sans"/>
        <family val="2"/>
      </rPr>
      <t xml:space="preserve">醫材</t>
    </r>
  </si>
  <si>
    <t xml:space="preserve">M011</t>
  </si>
  <si>
    <t xml:space="preserve">血壓計袖帶</t>
  </si>
  <si>
    <t xml:space="preserve">成人標準</t>
  </si>
  <si>
    <t xml:space="preserve">歐姆龍代理</t>
  </si>
  <si>
    <t xml:space="preserve">M012</t>
  </si>
  <si>
    <t xml:space="preserve">手術燈泡</t>
  </si>
  <si>
    <t xml:space="preserve">24V/40W</t>
  </si>
  <si>
    <t xml:space="preserve">西門子代理</t>
  </si>
  <si>
    <t xml:space="preserve">M013</t>
  </si>
  <si>
    <t xml:space="preserve">靜脈輸液袋</t>
  </si>
  <si>
    <t xml:space="preserve">500ml</t>
  </si>
  <si>
    <t xml:space="preserve">藥材耗材</t>
  </si>
  <si>
    <t xml:space="preserve">台鹽醫材</t>
  </si>
  <si>
    <t xml:space="preserve">M014</t>
  </si>
  <si>
    <t xml:space="preserve">採檢棉籤</t>
  </si>
  <si>
    <t xml:space="preserve">單支包裝</t>
  </si>
  <si>
    <t xml:space="preserve">棉花王</t>
  </si>
  <si>
    <t xml:space="preserve">M015</t>
  </si>
  <si>
    <t xml:space="preserve">負壓引流袋</t>
  </si>
  <si>
    <t xml:space="preserve">400ml</t>
  </si>
  <si>
    <t xml:space="preserve">M016</t>
  </si>
  <si>
    <t xml:space="preserve">超音波耦合劑</t>
  </si>
  <si>
    <r>
      <rPr>
        <sz val="9"/>
        <color rgb="FF0F172A"/>
        <rFont val="Arial"/>
        <family val="0"/>
        <charset val="1"/>
      </rPr>
      <t xml:space="preserve">250ml/</t>
    </r>
    <r>
      <rPr>
        <sz val="9"/>
        <color rgb="FF0F172A"/>
        <rFont val="DejaVu Sans"/>
        <family val="2"/>
      </rPr>
      <t xml:space="preserve">瓶</t>
    </r>
  </si>
  <si>
    <r>
      <rPr>
        <sz val="9"/>
        <color rgb="FF0F172A"/>
        <rFont val="Arial"/>
        <family val="0"/>
        <charset val="1"/>
      </rPr>
      <t xml:space="preserve">GE</t>
    </r>
    <r>
      <rPr>
        <sz val="9"/>
        <color rgb="FF0F172A"/>
        <rFont val="DejaVu Sans"/>
        <family val="2"/>
      </rPr>
      <t xml:space="preserve">代理</t>
    </r>
  </si>
  <si>
    <t xml:space="preserve">M017</t>
  </si>
  <si>
    <t xml:space="preserve">手術縫合夾</t>
  </si>
  <si>
    <r>
      <rPr>
        <sz val="9"/>
        <color rgb="FF0F172A"/>
        <rFont val="DejaVu Sans"/>
        <family val="2"/>
      </rPr>
      <t xml:space="preserve">大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中</t>
    </r>
    <r>
      <rPr>
        <sz val="9"/>
        <color rgb="FF0F172A"/>
        <rFont val="Arial"/>
        <family val="0"/>
        <charset val="1"/>
      </rPr>
      <t xml:space="preserve">/</t>
    </r>
    <r>
      <rPr>
        <sz val="9"/>
        <color rgb="FF0F172A"/>
        <rFont val="DejaVu Sans"/>
        <family val="2"/>
      </rPr>
      <t xml:space="preserve">小</t>
    </r>
  </si>
  <si>
    <t xml:space="preserve">M018</t>
  </si>
  <si>
    <t xml:space="preserve">醫用膠帶</t>
  </si>
  <si>
    <r>
      <rPr>
        <sz val="9"/>
        <color rgb="FF0F172A"/>
        <rFont val="Arial"/>
        <family val="0"/>
        <charset val="1"/>
      </rPr>
      <t xml:space="preserve">2</t>
    </r>
    <r>
      <rPr>
        <sz val="9"/>
        <color rgb="FF0F172A"/>
        <rFont val="DejaVu Sans"/>
        <family val="2"/>
      </rPr>
      <t xml:space="preserve">吋</t>
    </r>
    <r>
      <rPr>
        <sz val="9"/>
        <color rgb="FF0F172A"/>
        <rFont val="Arial"/>
        <family val="0"/>
        <charset val="1"/>
      </rPr>
      <t xml:space="preserve">x10</t>
    </r>
    <r>
      <rPr>
        <sz val="9"/>
        <color rgb="FF0F172A"/>
        <rFont val="DejaVu Sans"/>
        <family val="2"/>
      </rPr>
      <t xml:space="preserve">碼</t>
    </r>
  </si>
  <si>
    <r>
      <rPr>
        <b val="true"/>
        <sz val="9"/>
        <rFont val="DejaVu Sans"/>
        <family val="2"/>
      </rPr>
      <t xml:space="preserve">合　計 </t>
    </r>
    <r>
      <rPr>
        <b val="true"/>
        <sz val="9"/>
        <rFont val="Arial"/>
        <family val="0"/>
        <charset val="1"/>
      </rPr>
      <t xml:space="preserve">/ </t>
    </r>
    <r>
      <rPr>
        <b val="true"/>
        <sz val="9"/>
        <rFont val="DejaVu Sans"/>
        <family val="2"/>
      </rPr>
      <t xml:space="preserve">平均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</si>
</sst>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Arial"/>
      <family val="0"/>
      <charset val="1"/>
    </font>
    <font>
      <sz val="9"/>
      <color rgb="FF94A3B8"/>
      <name val="DejaVu Sans"/>
      <family val="2"/>
    </font>
    <font>
      <sz val="9"/>
      <color rgb="FF94A3B8"/>
      <name val="Arial"/>
      <family val="0"/>
      <charset val="1"/>
    </font>
    <font>
      <b val="true"/>
      <sz val="8"/>
      <color rgb="FF0F172A"/>
      <name val="DejaVu Sans"/>
      <family val="2"/>
    </font>
    <font>
      <b val="true"/>
      <sz val="8"/>
      <color rgb="FF0F172A"/>
      <name val="Arial"/>
      <family val="0"/>
      <charset val="1"/>
    </font>
    <font>
      <sz val="9"/>
      <color rgb="FF0F172A"/>
      <name val="Arial"/>
      <family val="0"/>
      <charset val="1"/>
    </font>
    <font>
      <sz val="9"/>
      <color rgb="FF0F172A"/>
      <name val="DejaVu Sans"/>
      <family val="2"/>
    </font>
    <font>
      <b val="true"/>
      <sz val="9"/>
      <color rgb="FF0F172A"/>
      <name val="DejaVu Sans"/>
      <family val="2"/>
    </font>
    <font>
      <b val="true"/>
      <sz val="9"/>
      <name val="DejaVu Sans"/>
      <family val="2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00C8B4"/>
        <bgColor rgb="FF33CCCC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FFFFF"/>
        <bgColor rgb="FFF8FAFC"/>
      </patternFill>
    </fill>
    <fill>
      <patternFill patternType="solid">
        <fgColor rgb="FFCBD5E1"/>
        <bgColor rgb="FFE2E8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8B4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17" min="6" style="0" width="7"/>
    <col collapsed="false" customWidth="true" hidden="false" outlineLevel="0" max="19" min="18" style="0" width="12"/>
    <col collapsed="false" customWidth="true" hidden="false" outlineLevel="0" max="23" min="20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2"/>
    <col collapsed="false" customWidth="true" hidden="false" outlineLevel="0" max="27" min="27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4" t="s">
        <v>25</v>
      </c>
      <c r="Y3" s="3" t="s">
        <v>26</v>
      </c>
      <c r="Z3" s="3" t="s">
        <v>27</v>
      </c>
      <c r="AA3" s="3" t="s">
        <v>28</v>
      </c>
    </row>
    <row r="4" customFormat="false" ht="15.75" hidden="false" customHeight="true" outlineLevel="0" collapsed="false">
      <c r="A4" s="5" t="s">
        <v>29</v>
      </c>
      <c r="B4" s="6" t="s">
        <v>30</v>
      </c>
      <c r="C4" s="5" t="s">
        <v>31</v>
      </c>
      <c r="D4" s="6" t="s">
        <v>32</v>
      </c>
      <c r="E4" s="6" t="s">
        <v>33</v>
      </c>
      <c r="F4" s="7" t="n">
        <v>520</v>
      </c>
      <c r="G4" s="7" t="n">
        <v>490</v>
      </c>
      <c r="H4" s="7" t="n">
        <v>580</v>
      </c>
      <c r="I4" s="7" t="n">
        <v>610</v>
      </c>
      <c r="J4" s="7" t="n">
        <v>540</v>
      </c>
      <c r="K4" s="7" t="n">
        <v>560</v>
      </c>
      <c r="L4" s="7" t="n">
        <v>590</v>
      </c>
      <c r="M4" s="7" t="n">
        <v>620</v>
      </c>
      <c r="N4" s="7" t="n">
        <v>580</v>
      </c>
      <c r="O4" s="7" t="n">
        <v>600</v>
      </c>
      <c r="P4" s="7" t="n">
        <v>640</v>
      </c>
      <c r="Q4" s="7" t="n">
        <v>550</v>
      </c>
      <c r="R4" s="8" t="n">
        <v>573.3</v>
      </c>
      <c r="S4" s="8" t="n">
        <v>860</v>
      </c>
      <c r="T4" s="8" t="n">
        <v>1146.7</v>
      </c>
      <c r="U4" s="7" t="n">
        <v>1800</v>
      </c>
      <c r="V4" s="7" t="n">
        <v>300</v>
      </c>
      <c r="W4" s="7" t="n">
        <v>2100</v>
      </c>
      <c r="X4" s="8" t="n">
        <v>602</v>
      </c>
      <c r="Y4" s="8" t="n">
        <v>1498</v>
      </c>
      <c r="Z4" s="8" t="n">
        <v>0</v>
      </c>
      <c r="AA4" s="9" t="s">
        <v>34</v>
      </c>
    </row>
    <row r="5" customFormat="false" ht="15.75" hidden="false" customHeight="true" outlineLevel="0" collapsed="false">
      <c r="A5" s="10" t="s">
        <v>35</v>
      </c>
      <c r="B5" s="11" t="s">
        <v>36</v>
      </c>
      <c r="C5" s="10" t="s">
        <v>37</v>
      </c>
      <c r="D5" s="11" t="s">
        <v>32</v>
      </c>
      <c r="E5" s="11" t="s">
        <v>38</v>
      </c>
      <c r="F5" s="12" t="n">
        <v>1200</v>
      </c>
      <c r="G5" s="12" t="n">
        <v>1150</v>
      </c>
      <c r="H5" s="12" t="n">
        <v>1300</v>
      </c>
      <c r="I5" s="12" t="n">
        <v>1280</v>
      </c>
      <c r="J5" s="12" t="n">
        <v>1350</v>
      </c>
      <c r="K5" s="12" t="n">
        <v>1400</v>
      </c>
      <c r="L5" s="12" t="n">
        <v>1250</v>
      </c>
      <c r="M5" s="12" t="n">
        <v>1300</v>
      </c>
      <c r="N5" s="12" t="n">
        <v>1320</v>
      </c>
      <c r="O5" s="12" t="n">
        <v>1380</v>
      </c>
      <c r="P5" s="12" t="n">
        <v>1420</v>
      </c>
      <c r="Q5" s="12" t="n">
        <v>1300</v>
      </c>
      <c r="R5" s="13" t="n">
        <v>1304.2</v>
      </c>
      <c r="S5" s="13" t="n">
        <v>1956.2</v>
      </c>
      <c r="T5" s="13" t="n">
        <v>2608.3</v>
      </c>
      <c r="U5" s="12" t="n">
        <v>4500</v>
      </c>
      <c r="V5" s="12" t="n">
        <v>800</v>
      </c>
      <c r="W5" s="12" t="n">
        <v>5300</v>
      </c>
      <c r="X5" s="13" t="n">
        <v>1369.4</v>
      </c>
      <c r="Y5" s="13" t="n">
        <v>3930.6</v>
      </c>
      <c r="Z5" s="13" t="n">
        <v>0</v>
      </c>
      <c r="AA5" s="9" t="s">
        <v>34</v>
      </c>
    </row>
    <row r="6" customFormat="false" ht="15.75" hidden="false" customHeight="true" outlineLevel="0" collapsed="false">
      <c r="A6" s="5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7" t="n">
        <v>3000</v>
      </c>
      <c r="G6" s="7" t="n">
        <v>2800</v>
      </c>
      <c r="H6" s="7" t="n">
        <v>3200</v>
      </c>
      <c r="I6" s="7" t="n">
        <v>3400</v>
      </c>
      <c r="J6" s="7" t="n">
        <v>3100</v>
      </c>
      <c r="K6" s="7" t="n">
        <v>3300</v>
      </c>
      <c r="L6" s="7" t="n">
        <v>3500</v>
      </c>
      <c r="M6" s="7" t="n">
        <v>3200</v>
      </c>
      <c r="N6" s="7" t="n">
        <v>3400</v>
      </c>
      <c r="O6" s="7" t="n">
        <v>3600</v>
      </c>
      <c r="P6" s="7" t="n">
        <v>3800</v>
      </c>
      <c r="Q6" s="7" t="n">
        <v>3500</v>
      </c>
      <c r="R6" s="8" t="n">
        <v>3316.7</v>
      </c>
      <c r="S6" s="8" t="n">
        <v>4975</v>
      </c>
      <c r="T6" s="8" t="n">
        <v>6633.3</v>
      </c>
      <c r="U6" s="7" t="n">
        <v>8000</v>
      </c>
      <c r="V6" s="7" t="n">
        <v>2000</v>
      </c>
      <c r="W6" s="7" t="n">
        <v>10000</v>
      </c>
      <c r="X6" s="8" t="n">
        <v>3482.5</v>
      </c>
      <c r="Y6" s="8" t="n">
        <v>6517.5</v>
      </c>
      <c r="Z6" s="8" t="n">
        <v>0</v>
      </c>
      <c r="AA6" s="9" t="s">
        <v>34</v>
      </c>
    </row>
    <row r="7" customFormat="false" ht="15.75" hidden="false" customHeight="true" outlineLevel="0" collapsed="false">
      <c r="A7" s="10" t="s">
        <v>44</v>
      </c>
      <c r="B7" s="11" t="s">
        <v>45</v>
      </c>
      <c r="C7" s="10" t="s">
        <v>46</v>
      </c>
      <c r="D7" s="11" t="s">
        <v>47</v>
      </c>
      <c r="E7" s="11" t="s">
        <v>48</v>
      </c>
      <c r="F7" s="12" t="n">
        <v>85</v>
      </c>
      <c r="G7" s="12" t="n">
        <v>90</v>
      </c>
      <c r="H7" s="12" t="n">
        <v>78</v>
      </c>
      <c r="I7" s="12" t="n">
        <v>95</v>
      </c>
      <c r="J7" s="12" t="n">
        <v>88</v>
      </c>
      <c r="K7" s="12" t="n">
        <v>92</v>
      </c>
      <c r="L7" s="12" t="n">
        <v>96</v>
      </c>
      <c r="M7" s="12" t="n">
        <v>88</v>
      </c>
      <c r="N7" s="12" t="n">
        <v>94</v>
      </c>
      <c r="O7" s="12" t="n">
        <v>98</v>
      </c>
      <c r="P7" s="12" t="n">
        <v>102</v>
      </c>
      <c r="Q7" s="12" t="n">
        <v>95</v>
      </c>
      <c r="R7" s="13" t="n">
        <v>91.8</v>
      </c>
      <c r="S7" s="13" t="n">
        <v>137.6</v>
      </c>
      <c r="T7" s="13" t="n">
        <v>183.5</v>
      </c>
      <c r="U7" s="12" t="n">
        <v>150</v>
      </c>
      <c r="V7" s="12" t="n">
        <v>50</v>
      </c>
      <c r="W7" s="12" t="n">
        <v>200</v>
      </c>
      <c r="X7" s="13" t="n">
        <v>96.3</v>
      </c>
      <c r="Y7" s="13" t="n">
        <v>103.7</v>
      </c>
      <c r="Z7" s="13" t="n">
        <v>0</v>
      </c>
      <c r="AA7" s="9" t="s">
        <v>34</v>
      </c>
    </row>
    <row r="8" customFormat="false" ht="15.75" hidden="false" customHeight="true" outlineLevel="0" collapsed="false">
      <c r="A8" s="5" t="s">
        <v>49</v>
      </c>
      <c r="B8" s="6" t="s">
        <v>50</v>
      </c>
      <c r="C8" s="5" t="s">
        <v>51</v>
      </c>
      <c r="D8" s="6" t="s">
        <v>32</v>
      </c>
      <c r="E8" s="6" t="s">
        <v>33</v>
      </c>
      <c r="F8" s="7" t="n">
        <v>680</v>
      </c>
      <c r="G8" s="7" t="n">
        <v>650</v>
      </c>
      <c r="H8" s="7" t="n">
        <v>720</v>
      </c>
      <c r="I8" s="7" t="n">
        <v>740</v>
      </c>
      <c r="J8" s="7" t="n">
        <v>700</v>
      </c>
      <c r="K8" s="7" t="n">
        <v>730</v>
      </c>
      <c r="L8" s="7" t="n">
        <v>760</v>
      </c>
      <c r="M8" s="7" t="n">
        <v>710</v>
      </c>
      <c r="N8" s="7" t="n">
        <v>740</v>
      </c>
      <c r="O8" s="7" t="n">
        <v>780</v>
      </c>
      <c r="P8" s="7" t="n">
        <v>820</v>
      </c>
      <c r="Q8" s="7" t="n">
        <v>760</v>
      </c>
      <c r="R8" s="8" t="n">
        <v>732.5</v>
      </c>
      <c r="S8" s="8" t="n">
        <v>1098.8</v>
      </c>
      <c r="T8" s="8" t="n">
        <v>1465</v>
      </c>
      <c r="U8" s="7" t="n">
        <v>2200</v>
      </c>
      <c r="V8" s="7" t="n">
        <v>400</v>
      </c>
      <c r="W8" s="7" t="n">
        <v>2600</v>
      </c>
      <c r="X8" s="8" t="n">
        <v>769.1</v>
      </c>
      <c r="Y8" s="8" t="n">
        <v>1830.9</v>
      </c>
      <c r="Z8" s="8" t="n">
        <v>0</v>
      </c>
      <c r="AA8" s="9" t="s">
        <v>34</v>
      </c>
    </row>
    <row r="9" customFormat="false" ht="15.75" hidden="false" customHeight="true" outlineLevel="0" collapsed="false">
      <c r="A9" s="10" t="s">
        <v>52</v>
      </c>
      <c r="B9" s="11" t="s">
        <v>53</v>
      </c>
      <c r="C9" s="10" t="s">
        <v>54</v>
      </c>
      <c r="D9" s="11" t="s">
        <v>55</v>
      </c>
      <c r="E9" s="11" t="s">
        <v>56</v>
      </c>
      <c r="F9" s="12" t="n">
        <v>420</v>
      </c>
      <c r="G9" s="12" t="n">
        <v>400</v>
      </c>
      <c r="H9" s="12" t="n">
        <v>460</v>
      </c>
      <c r="I9" s="12" t="n">
        <v>480</v>
      </c>
      <c r="J9" s="12" t="n">
        <v>440</v>
      </c>
      <c r="K9" s="12" t="n">
        <v>460</v>
      </c>
      <c r="L9" s="12" t="n">
        <v>490</v>
      </c>
      <c r="M9" s="12" t="n">
        <v>460</v>
      </c>
      <c r="N9" s="12" t="n">
        <v>480</v>
      </c>
      <c r="O9" s="12" t="n">
        <v>510</v>
      </c>
      <c r="P9" s="12" t="n">
        <v>540</v>
      </c>
      <c r="Q9" s="12" t="n">
        <v>500</v>
      </c>
      <c r="R9" s="13" t="n">
        <v>470</v>
      </c>
      <c r="S9" s="13" t="n">
        <v>705</v>
      </c>
      <c r="T9" s="13" t="n">
        <v>940</v>
      </c>
      <c r="U9" s="12" t="n">
        <v>1500</v>
      </c>
      <c r="V9" s="12" t="n">
        <v>200</v>
      </c>
      <c r="W9" s="12" t="n">
        <v>1700</v>
      </c>
      <c r="X9" s="13" t="n">
        <v>493.5</v>
      </c>
      <c r="Y9" s="13" t="n">
        <v>1206.5</v>
      </c>
      <c r="Z9" s="13" t="n">
        <v>0</v>
      </c>
      <c r="AA9" s="9" t="s">
        <v>34</v>
      </c>
    </row>
    <row r="10" customFormat="false" ht="15.75" hidden="false" customHeight="true" outlineLevel="0" collapsed="false">
      <c r="A10" s="5" t="s">
        <v>57</v>
      </c>
      <c r="B10" s="6" t="s">
        <v>58</v>
      </c>
      <c r="C10" s="5" t="s">
        <v>59</v>
      </c>
      <c r="D10" s="6" t="s">
        <v>60</v>
      </c>
      <c r="E10" s="6" t="s">
        <v>61</v>
      </c>
      <c r="F10" s="7" t="n">
        <v>180</v>
      </c>
      <c r="G10" s="7" t="n">
        <v>170</v>
      </c>
      <c r="H10" s="7" t="n">
        <v>195</v>
      </c>
      <c r="I10" s="7" t="n">
        <v>200</v>
      </c>
      <c r="J10" s="7" t="n">
        <v>185</v>
      </c>
      <c r="K10" s="7" t="n">
        <v>192</v>
      </c>
      <c r="L10" s="7" t="n">
        <v>205</v>
      </c>
      <c r="M10" s="7" t="n">
        <v>188</v>
      </c>
      <c r="N10" s="7" t="n">
        <v>196</v>
      </c>
      <c r="O10" s="7" t="n">
        <v>210</v>
      </c>
      <c r="P10" s="7" t="n">
        <v>225</v>
      </c>
      <c r="Q10" s="7" t="n">
        <v>208</v>
      </c>
      <c r="R10" s="8" t="n">
        <v>196.2</v>
      </c>
      <c r="S10" s="8" t="n">
        <v>294.2</v>
      </c>
      <c r="T10" s="8" t="n">
        <v>392.3</v>
      </c>
      <c r="U10" s="7" t="n">
        <v>600</v>
      </c>
      <c r="V10" s="7" t="n">
        <v>0</v>
      </c>
      <c r="W10" s="7" t="n">
        <v>600</v>
      </c>
      <c r="X10" s="8" t="n">
        <v>206</v>
      </c>
      <c r="Y10" s="8" t="n">
        <v>394</v>
      </c>
      <c r="Z10" s="8" t="n">
        <v>0</v>
      </c>
      <c r="AA10" s="9" t="s">
        <v>34</v>
      </c>
    </row>
    <row r="11" customFormat="false" ht="15.75" hidden="false" customHeight="true" outlineLevel="0" collapsed="false">
      <c r="A11" s="10" t="s">
        <v>62</v>
      </c>
      <c r="B11" s="11" t="s">
        <v>63</v>
      </c>
      <c r="C11" s="10" t="s">
        <v>64</v>
      </c>
      <c r="D11" s="11" t="s">
        <v>32</v>
      </c>
      <c r="E11" s="11" t="s">
        <v>65</v>
      </c>
      <c r="F11" s="12" t="n">
        <v>240</v>
      </c>
      <c r="G11" s="12" t="n">
        <v>230</v>
      </c>
      <c r="H11" s="12" t="n">
        <v>260</v>
      </c>
      <c r="I11" s="12" t="n">
        <v>270</v>
      </c>
      <c r="J11" s="12" t="n">
        <v>250</v>
      </c>
      <c r="K11" s="12" t="n">
        <v>258</v>
      </c>
      <c r="L11" s="12" t="n">
        <v>275</v>
      </c>
      <c r="M11" s="12" t="n">
        <v>260</v>
      </c>
      <c r="N11" s="12" t="n">
        <v>268</v>
      </c>
      <c r="O11" s="12" t="n">
        <v>285</v>
      </c>
      <c r="P11" s="12" t="n">
        <v>300</v>
      </c>
      <c r="Q11" s="12" t="n">
        <v>280</v>
      </c>
      <c r="R11" s="13" t="n">
        <v>264.7</v>
      </c>
      <c r="S11" s="13" t="n">
        <v>397</v>
      </c>
      <c r="T11" s="13" t="n">
        <v>529.3</v>
      </c>
      <c r="U11" s="12" t="n">
        <v>900</v>
      </c>
      <c r="V11" s="12" t="n">
        <v>100</v>
      </c>
      <c r="W11" s="12" t="n">
        <v>1000</v>
      </c>
      <c r="X11" s="13" t="n">
        <v>277.9</v>
      </c>
      <c r="Y11" s="13" t="n">
        <v>722.1</v>
      </c>
      <c r="Z11" s="13" t="n">
        <v>0</v>
      </c>
      <c r="AA11" s="9" t="s">
        <v>34</v>
      </c>
    </row>
    <row r="12" customFormat="false" ht="15.75" hidden="false" customHeight="true" outlineLevel="0" collapsed="false">
      <c r="A12" s="5" t="s">
        <v>66</v>
      </c>
      <c r="B12" s="6" t="s">
        <v>67</v>
      </c>
      <c r="C12" s="5" t="s">
        <v>68</v>
      </c>
      <c r="D12" s="6" t="s">
        <v>32</v>
      </c>
      <c r="E12" s="6" t="s">
        <v>69</v>
      </c>
      <c r="F12" s="7" t="n">
        <v>2800</v>
      </c>
      <c r="G12" s="7" t="n">
        <v>2600</v>
      </c>
      <c r="H12" s="7" t="n">
        <v>3000</v>
      </c>
      <c r="I12" s="7" t="n">
        <v>3200</v>
      </c>
      <c r="J12" s="7" t="n">
        <v>2900</v>
      </c>
      <c r="K12" s="7" t="n">
        <v>3050</v>
      </c>
      <c r="L12" s="7" t="n">
        <v>3200</v>
      </c>
      <c r="M12" s="7" t="n">
        <v>2950</v>
      </c>
      <c r="N12" s="7" t="n">
        <v>3100</v>
      </c>
      <c r="O12" s="7" t="n">
        <v>3300</v>
      </c>
      <c r="P12" s="7" t="n">
        <v>3500</v>
      </c>
      <c r="Q12" s="7" t="n">
        <v>3200</v>
      </c>
      <c r="R12" s="8" t="n">
        <v>3066.7</v>
      </c>
      <c r="S12" s="8" t="n">
        <v>4600</v>
      </c>
      <c r="T12" s="8" t="n">
        <v>6133.3</v>
      </c>
      <c r="U12" s="7" t="n">
        <v>9500</v>
      </c>
      <c r="V12" s="7" t="n">
        <v>1500</v>
      </c>
      <c r="W12" s="7" t="n">
        <v>11000</v>
      </c>
      <c r="X12" s="8" t="n">
        <v>3220</v>
      </c>
      <c r="Y12" s="8" t="n">
        <v>7780</v>
      </c>
      <c r="Z12" s="8" t="n">
        <v>0</v>
      </c>
      <c r="AA12" s="9" t="s">
        <v>34</v>
      </c>
    </row>
    <row r="13" customFormat="false" ht="15.75" hidden="false" customHeight="true" outlineLevel="0" collapsed="false">
      <c r="A13" s="10" t="s">
        <v>70</v>
      </c>
      <c r="B13" s="11" t="s">
        <v>71</v>
      </c>
      <c r="C13" s="10" t="s">
        <v>72</v>
      </c>
      <c r="D13" s="11" t="s">
        <v>55</v>
      </c>
      <c r="E13" s="10" t="s">
        <v>73</v>
      </c>
      <c r="F13" s="12" t="n">
        <v>1500</v>
      </c>
      <c r="G13" s="12" t="n">
        <v>1420</v>
      </c>
      <c r="H13" s="12" t="n">
        <v>1600</v>
      </c>
      <c r="I13" s="12" t="n">
        <v>1650</v>
      </c>
      <c r="J13" s="12" t="n">
        <v>1580</v>
      </c>
      <c r="K13" s="12" t="n">
        <v>1620</v>
      </c>
      <c r="L13" s="12" t="n">
        <v>1700</v>
      </c>
      <c r="M13" s="12" t="n">
        <v>1580</v>
      </c>
      <c r="N13" s="12" t="n">
        <v>1640</v>
      </c>
      <c r="O13" s="12" t="n">
        <v>1720</v>
      </c>
      <c r="P13" s="12" t="n">
        <v>1820</v>
      </c>
      <c r="Q13" s="12" t="n">
        <v>1680</v>
      </c>
      <c r="R13" s="13" t="n">
        <v>1625.8</v>
      </c>
      <c r="S13" s="13" t="n">
        <v>2438.8</v>
      </c>
      <c r="T13" s="13" t="n">
        <v>3251.7</v>
      </c>
      <c r="U13" s="12" t="n">
        <v>5000</v>
      </c>
      <c r="V13" s="12" t="n">
        <v>600</v>
      </c>
      <c r="W13" s="12" t="n">
        <v>5600</v>
      </c>
      <c r="X13" s="13" t="n">
        <v>1707.1</v>
      </c>
      <c r="Y13" s="13" t="n">
        <v>3892.9</v>
      </c>
      <c r="Z13" s="13" t="n">
        <v>0</v>
      </c>
      <c r="AA13" s="9" t="s">
        <v>34</v>
      </c>
    </row>
    <row r="14" customFormat="false" ht="15.75" hidden="false" customHeight="true" outlineLevel="0" collapsed="false">
      <c r="A14" s="5" t="s">
        <v>74</v>
      </c>
      <c r="B14" s="6" t="s">
        <v>75</v>
      </c>
      <c r="C14" s="6" t="s">
        <v>76</v>
      </c>
      <c r="D14" s="6" t="s">
        <v>60</v>
      </c>
      <c r="E14" s="6" t="s">
        <v>77</v>
      </c>
      <c r="F14" s="7" t="n">
        <v>45</v>
      </c>
      <c r="G14" s="7" t="n">
        <v>42</v>
      </c>
      <c r="H14" s="7" t="n">
        <v>48</v>
      </c>
      <c r="I14" s="7" t="n">
        <v>50</v>
      </c>
      <c r="J14" s="7" t="n">
        <v>46</v>
      </c>
      <c r="K14" s="7" t="n">
        <v>48</v>
      </c>
      <c r="L14" s="7" t="n">
        <v>52</v>
      </c>
      <c r="M14" s="7" t="n">
        <v>47</v>
      </c>
      <c r="N14" s="7" t="n">
        <v>49</v>
      </c>
      <c r="O14" s="7" t="n">
        <v>53</v>
      </c>
      <c r="P14" s="7" t="n">
        <v>56</v>
      </c>
      <c r="Q14" s="7" t="n">
        <v>52</v>
      </c>
      <c r="R14" s="8" t="n">
        <v>49</v>
      </c>
      <c r="S14" s="8" t="n">
        <v>73.5</v>
      </c>
      <c r="T14" s="8" t="n">
        <v>98</v>
      </c>
      <c r="U14" s="7" t="n">
        <v>120</v>
      </c>
      <c r="V14" s="7" t="n">
        <v>0</v>
      </c>
      <c r="W14" s="7" t="n">
        <v>120</v>
      </c>
      <c r="X14" s="8" t="n">
        <v>51.5</v>
      </c>
      <c r="Y14" s="8" t="n">
        <v>68.5</v>
      </c>
      <c r="Z14" s="8" t="n">
        <v>0</v>
      </c>
      <c r="AA14" s="9" t="s">
        <v>34</v>
      </c>
    </row>
    <row r="15" customFormat="false" ht="15.75" hidden="false" customHeight="true" outlineLevel="0" collapsed="false">
      <c r="A15" s="10" t="s">
        <v>78</v>
      </c>
      <c r="B15" s="11" t="s">
        <v>79</v>
      </c>
      <c r="C15" s="10" t="s">
        <v>80</v>
      </c>
      <c r="D15" s="11" t="s">
        <v>60</v>
      </c>
      <c r="E15" s="11" t="s">
        <v>81</v>
      </c>
      <c r="F15" s="12" t="n">
        <v>12</v>
      </c>
      <c r="G15" s="12" t="n">
        <v>10</v>
      </c>
      <c r="H15" s="12" t="n">
        <v>14</v>
      </c>
      <c r="I15" s="12" t="n">
        <v>15</v>
      </c>
      <c r="J15" s="12" t="n">
        <v>11</v>
      </c>
      <c r="K15" s="12" t="n">
        <v>13</v>
      </c>
      <c r="L15" s="12" t="n">
        <v>15</v>
      </c>
      <c r="M15" s="12" t="n">
        <v>12</v>
      </c>
      <c r="N15" s="12" t="n">
        <v>14</v>
      </c>
      <c r="O15" s="12" t="n">
        <v>16</v>
      </c>
      <c r="P15" s="12" t="n">
        <v>18</v>
      </c>
      <c r="Q15" s="12" t="n">
        <v>15</v>
      </c>
      <c r="R15" s="13" t="n">
        <v>13.8</v>
      </c>
      <c r="S15" s="13" t="n">
        <v>20.6</v>
      </c>
      <c r="T15" s="13" t="n">
        <v>27.5</v>
      </c>
      <c r="U15" s="12" t="n">
        <v>20</v>
      </c>
      <c r="V15" s="12" t="n">
        <v>10</v>
      </c>
      <c r="W15" s="12" t="n">
        <v>30</v>
      </c>
      <c r="X15" s="13" t="n">
        <v>14.4</v>
      </c>
      <c r="Y15" s="13" t="n">
        <v>15.6</v>
      </c>
      <c r="Z15" s="13" t="n">
        <v>0</v>
      </c>
      <c r="AA15" s="9" t="s">
        <v>34</v>
      </c>
    </row>
    <row r="16" customFormat="false" ht="15.75" hidden="false" customHeight="true" outlineLevel="0" collapsed="false">
      <c r="A16" s="5" t="s">
        <v>82</v>
      </c>
      <c r="B16" s="6" t="s">
        <v>83</v>
      </c>
      <c r="C16" s="5" t="s">
        <v>84</v>
      </c>
      <c r="D16" s="6" t="s">
        <v>85</v>
      </c>
      <c r="E16" s="6" t="s">
        <v>86</v>
      </c>
      <c r="F16" s="7" t="n">
        <v>980</v>
      </c>
      <c r="G16" s="7" t="n">
        <v>920</v>
      </c>
      <c r="H16" s="7" t="n">
        <v>1050</v>
      </c>
      <c r="I16" s="7" t="n">
        <v>1080</v>
      </c>
      <c r="J16" s="7" t="n">
        <v>1000</v>
      </c>
      <c r="K16" s="7" t="n">
        <v>1040</v>
      </c>
      <c r="L16" s="7" t="n">
        <v>1100</v>
      </c>
      <c r="M16" s="7" t="n">
        <v>1020</v>
      </c>
      <c r="N16" s="7" t="n">
        <v>1060</v>
      </c>
      <c r="O16" s="7" t="n">
        <v>1120</v>
      </c>
      <c r="P16" s="7" t="n">
        <v>1180</v>
      </c>
      <c r="Q16" s="7" t="n">
        <v>1100</v>
      </c>
      <c r="R16" s="8" t="n">
        <v>1054.2</v>
      </c>
      <c r="S16" s="8" t="n">
        <v>1581.2</v>
      </c>
      <c r="T16" s="8" t="n">
        <v>2108.3</v>
      </c>
      <c r="U16" s="7" t="n">
        <v>3200</v>
      </c>
      <c r="V16" s="7" t="n">
        <v>500</v>
      </c>
      <c r="W16" s="7" t="n">
        <v>3700</v>
      </c>
      <c r="X16" s="8" t="n">
        <v>1106.9</v>
      </c>
      <c r="Y16" s="8" t="n">
        <v>2593.1</v>
      </c>
      <c r="Z16" s="8" t="n">
        <v>0</v>
      </c>
      <c r="AA16" s="9" t="s">
        <v>34</v>
      </c>
    </row>
    <row r="17" customFormat="false" ht="15.75" hidden="false" customHeight="true" outlineLevel="0" collapsed="false">
      <c r="A17" s="10" t="s">
        <v>87</v>
      </c>
      <c r="B17" s="11" t="s">
        <v>88</v>
      </c>
      <c r="C17" s="11" t="s">
        <v>89</v>
      </c>
      <c r="D17" s="11" t="s">
        <v>55</v>
      </c>
      <c r="E17" s="11" t="s">
        <v>90</v>
      </c>
      <c r="F17" s="12" t="n">
        <v>2200</v>
      </c>
      <c r="G17" s="12" t="n">
        <v>2050</v>
      </c>
      <c r="H17" s="12" t="n">
        <v>2350</v>
      </c>
      <c r="I17" s="12" t="n">
        <v>2400</v>
      </c>
      <c r="J17" s="12" t="n">
        <v>2250</v>
      </c>
      <c r="K17" s="12" t="n">
        <v>2320</v>
      </c>
      <c r="L17" s="12" t="n">
        <v>2450</v>
      </c>
      <c r="M17" s="12" t="n">
        <v>2280</v>
      </c>
      <c r="N17" s="12" t="n">
        <v>2360</v>
      </c>
      <c r="O17" s="12" t="n">
        <v>2500</v>
      </c>
      <c r="P17" s="12" t="n">
        <v>2650</v>
      </c>
      <c r="Q17" s="12" t="n">
        <v>2450</v>
      </c>
      <c r="R17" s="13" t="n">
        <v>2355</v>
      </c>
      <c r="S17" s="13" t="n">
        <v>3532.5</v>
      </c>
      <c r="T17" s="13" t="n">
        <v>4710</v>
      </c>
      <c r="U17" s="12" t="n">
        <v>7000</v>
      </c>
      <c r="V17" s="12" t="n">
        <v>1000</v>
      </c>
      <c r="W17" s="12" t="n">
        <v>8000</v>
      </c>
      <c r="X17" s="13" t="n">
        <v>2472.8</v>
      </c>
      <c r="Y17" s="13" t="n">
        <v>5527.2</v>
      </c>
      <c r="Z17" s="13" t="n">
        <v>0</v>
      </c>
      <c r="AA17" s="9" t="s">
        <v>34</v>
      </c>
    </row>
    <row r="18" customFormat="false" ht="15.75" hidden="false" customHeight="true" outlineLevel="0" collapsed="false">
      <c r="A18" s="5" t="s">
        <v>91</v>
      </c>
      <c r="B18" s="6" t="s">
        <v>92</v>
      </c>
      <c r="C18" s="5" t="s">
        <v>93</v>
      </c>
      <c r="D18" s="6" t="s">
        <v>47</v>
      </c>
      <c r="E18" s="6" t="s">
        <v>38</v>
      </c>
      <c r="F18" s="7" t="n">
        <v>120</v>
      </c>
      <c r="G18" s="7" t="n">
        <v>115</v>
      </c>
      <c r="H18" s="7" t="n">
        <v>130</v>
      </c>
      <c r="I18" s="7" t="n">
        <v>135</v>
      </c>
      <c r="J18" s="7" t="n">
        <v>125</v>
      </c>
      <c r="K18" s="7" t="n">
        <v>128</v>
      </c>
      <c r="L18" s="7" t="n">
        <v>138</v>
      </c>
      <c r="M18" s="7" t="n">
        <v>128</v>
      </c>
      <c r="N18" s="7" t="n">
        <v>133</v>
      </c>
      <c r="O18" s="7" t="n">
        <v>140</v>
      </c>
      <c r="P18" s="7" t="n">
        <v>148</v>
      </c>
      <c r="Q18" s="7" t="n">
        <v>138</v>
      </c>
      <c r="R18" s="8" t="n">
        <v>131.5</v>
      </c>
      <c r="S18" s="8" t="n">
        <v>197.2</v>
      </c>
      <c r="T18" s="8" t="n">
        <v>263</v>
      </c>
      <c r="U18" s="7" t="n">
        <v>280</v>
      </c>
      <c r="V18" s="7" t="n">
        <v>80</v>
      </c>
      <c r="W18" s="7" t="n">
        <v>360</v>
      </c>
      <c r="X18" s="8" t="n">
        <v>138.1</v>
      </c>
      <c r="Y18" s="8" t="n">
        <v>221.9</v>
      </c>
      <c r="Z18" s="8" t="n">
        <v>0</v>
      </c>
      <c r="AA18" s="9" t="s">
        <v>34</v>
      </c>
    </row>
    <row r="19" customFormat="false" ht="15.75" hidden="false" customHeight="true" outlineLevel="0" collapsed="false">
      <c r="A19" s="10" t="s">
        <v>94</v>
      </c>
      <c r="B19" s="11" t="s">
        <v>95</v>
      </c>
      <c r="C19" s="10" t="s">
        <v>96</v>
      </c>
      <c r="D19" s="11" t="s">
        <v>60</v>
      </c>
      <c r="E19" s="10" t="s">
        <v>97</v>
      </c>
      <c r="F19" s="12" t="n">
        <v>68</v>
      </c>
      <c r="G19" s="12" t="n">
        <v>65</v>
      </c>
      <c r="H19" s="12" t="n">
        <v>74</v>
      </c>
      <c r="I19" s="12" t="n">
        <v>76</v>
      </c>
      <c r="J19" s="12" t="n">
        <v>70</v>
      </c>
      <c r="K19" s="12" t="n">
        <v>72</v>
      </c>
      <c r="L19" s="12" t="n">
        <v>78</v>
      </c>
      <c r="M19" s="12" t="n">
        <v>71</v>
      </c>
      <c r="N19" s="12" t="n">
        <v>74</v>
      </c>
      <c r="O19" s="12" t="n">
        <v>80</v>
      </c>
      <c r="P19" s="12" t="n">
        <v>85</v>
      </c>
      <c r="Q19" s="12" t="n">
        <v>78</v>
      </c>
      <c r="R19" s="13" t="n">
        <v>74.2</v>
      </c>
      <c r="S19" s="13" t="n">
        <v>111.4</v>
      </c>
      <c r="T19" s="13" t="n">
        <v>148.5</v>
      </c>
      <c r="U19" s="12" t="n">
        <v>200</v>
      </c>
      <c r="V19" s="12" t="n">
        <v>30</v>
      </c>
      <c r="W19" s="12" t="n">
        <v>230</v>
      </c>
      <c r="X19" s="13" t="n">
        <v>78</v>
      </c>
      <c r="Y19" s="13" t="n">
        <v>152</v>
      </c>
      <c r="Z19" s="13" t="n">
        <v>0</v>
      </c>
      <c r="AA19" s="9" t="s">
        <v>34</v>
      </c>
    </row>
    <row r="20" customFormat="false" ht="15.75" hidden="false" customHeight="true" outlineLevel="0" collapsed="false">
      <c r="A20" s="5" t="s">
        <v>98</v>
      </c>
      <c r="B20" s="6" t="s">
        <v>99</v>
      </c>
      <c r="C20" s="6" t="s">
        <v>100</v>
      </c>
      <c r="D20" s="6" t="s">
        <v>47</v>
      </c>
      <c r="E20" s="6" t="s">
        <v>48</v>
      </c>
      <c r="F20" s="7" t="n">
        <v>55</v>
      </c>
      <c r="G20" s="7" t="n">
        <v>52</v>
      </c>
      <c r="H20" s="7" t="n">
        <v>60</v>
      </c>
      <c r="I20" s="7" t="n">
        <v>62</v>
      </c>
      <c r="J20" s="7" t="n">
        <v>57</v>
      </c>
      <c r="K20" s="7" t="n">
        <v>59</v>
      </c>
      <c r="L20" s="7" t="n">
        <v>63</v>
      </c>
      <c r="M20" s="7" t="n">
        <v>58</v>
      </c>
      <c r="N20" s="7" t="n">
        <v>61</v>
      </c>
      <c r="O20" s="7" t="n">
        <v>65</v>
      </c>
      <c r="P20" s="7" t="n">
        <v>69</v>
      </c>
      <c r="Q20" s="7" t="n">
        <v>63</v>
      </c>
      <c r="R20" s="8" t="n">
        <v>60.3</v>
      </c>
      <c r="S20" s="8" t="n">
        <v>90.5</v>
      </c>
      <c r="T20" s="8" t="n">
        <v>120.7</v>
      </c>
      <c r="U20" s="7" t="n">
        <v>100</v>
      </c>
      <c r="V20" s="7" t="n">
        <v>40</v>
      </c>
      <c r="W20" s="7" t="n">
        <v>140</v>
      </c>
      <c r="X20" s="8" t="n">
        <v>63.4</v>
      </c>
      <c r="Y20" s="8" t="n">
        <v>76.6</v>
      </c>
      <c r="Z20" s="8" t="n">
        <v>0</v>
      </c>
      <c r="AA20" s="9" t="s">
        <v>34</v>
      </c>
    </row>
    <row r="21" customFormat="false" ht="15.75" hidden="false" customHeight="true" outlineLevel="0" collapsed="false">
      <c r="A21" s="10" t="s">
        <v>101</v>
      </c>
      <c r="B21" s="11" t="s">
        <v>102</v>
      </c>
      <c r="C21" s="10" t="s">
        <v>103</v>
      </c>
      <c r="D21" s="11" t="s">
        <v>32</v>
      </c>
      <c r="E21" s="11" t="s">
        <v>65</v>
      </c>
      <c r="F21" s="12" t="n">
        <v>850</v>
      </c>
      <c r="G21" s="12" t="n">
        <v>800</v>
      </c>
      <c r="H21" s="12" t="n">
        <v>920</v>
      </c>
      <c r="I21" s="12" t="n">
        <v>940</v>
      </c>
      <c r="J21" s="12" t="n">
        <v>870</v>
      </c>
      <c r="K21" s="12" t="n">
        <v>900</v>
      </c>
      <c r="L21" s="12" t="n">
        <v>950</v>
      </c>
      <c r="M21" s="12" t="n">
        <v>880</v>
      </c>
      <c r="N21" s="12" t="n">
        <v>920</v>
      </c>
      <c r="O21" s="12" t="n">
        <v>970</v>
      </c>
      <c r="P21" s="12" t="n">
        <v>1030</v>
      </c>
      <c r="Q21" s="12" t="n">
        <v>950</v>
      </c>
      <c r="R21" s="13" t="n">
        <v>915</v>
      </c>
      <c r="S21" s="13" t="n">
        <v>1372.5</v>
      </c>
      <c r="T21" s="13" t="n">
        <v>1830</v>
      </c>
      <c r="U21" s="12" t="n">
        <v>2800</v>
      </c>
      <c r="V21" s="12" t="n">
        <v>400</v>
      </c>
      <c r="W21" s="12" t="n">
        <v>3200</v>
      </c>
      <c r="X21" s="13" t="n">
        <v>960.8</v>
      </c>
      <c r="Y21" s="13" t="n">
        <v>2239.2</v>
      </c>
      <c r="Z21" s="13" t="n">
        <v>0</v>
      </c>
      <c r="AA21" s="9" t="s">
        <v>34</v>
      </c>
    </row>
    <row r="22" customFormat="false" ht="18" hidden="false" customHeight="true" outlineLevel="0" collapsed="false">
      <c r="A22" s="14" t="s">
        <v>104</v>
      </c>
      <c r="B22" s="14"/>
      <c r="C22" s="14"/>
      <c r="D22" s="14"/>
      <c r="E22" s="14"/>
      <c r="F22" s="15" t="n">
        <f aca="false">SUM(F4:F21)</f>
        <v>14955</v>
      </c>
      <c r="G22" s="15" t="n">
        <f aca="false">SUM(G4:G21)</f>
        <v>14054</v>
      </c>
      <c r="H22" s="15" t="n">
        <f aca="false">SUM(H4:H21)</f>
        <v>16039</v>
      </c>
      <c r="I22" s="15" t="n">
        <f aca="false">SUM(I4:I21)</f>
        <v>16683</v>
      </c>
      <c r="J22" s="15" t="n">
        <f aca="false">SUM(J4:J21)</f>
        <v>15562</v>
      </c>
      <c r="K22" s="15" t="n">
        <f aca="false">SUM(K4:K21)</f>
        <v>16242</v>
      </c>
      <c r="L22" s="15" t="n">
        <f aca="false">SUM(L4:L21)</f>
        <v>16912</v>
      </c>
      <c r="M22" s="15" t="n">
        <f aca="false">SUM(M4:M21)</f>
        <v>15852</v>
      </c>
      <c r="N22" s="15" t="n">
        <f aca="false">SUM(N4:N21)</f>
        <v>16489</v>
      </c>
      <c r="O22" s="15" t="n">
        <f aca="false">SUM(O4:O21)</f>
        <v>17427</v>
      </c>
      <c r="P22" s="15" t="n">
        <f aca="false">SUM(P4:P21)</f>
        <v>18403</v>
      </c>
      <c r="Q22" s="15" t="n">
        <f aca="false">SUM(Q4:Q21)</f>
        <v>16919</v>
      </c>
      <c r="R22" s="15" t="n">
        <f aca="false">SUM(R4:R21)</f>
        <v>16294.9</v>
      </c>
      <c r="S22" s="15" t="n">
        <f aca="false">SUM(S4:S21)</f>
        <v>24442</v>
      </c>
      <c r="T22" s="15" t="n">
        <f aca="false">SUM(T4:T21)</f>
        <v>32589.4</v>
      </c>
      <c r="U22" s="15" t="n">
        <f aca="false">SUM(U4:U21)</f>
        <v>47870</v>
      </c>
      <c r="V22" s="15" t="n">
        <f aca="false">SUM(V4:V21)</f>
        <v>8010</v>
      </c>
      <c r="W22" s="15" t="n">
        <f aca="false">SUM(W4:W21)</f>
        <v>55880</v>
      </c>
      <c r="X22" s="15" t="n">
        <f aca="false">SUM(X4:X21)</f>
        <v>17109.7</v>
      </c>
      <c r="Y22" s="15" t="n">
        <f aca="false">SUM(Y4:Y21)</f>
        <v>38770.3</v>
      </c>
      <c r="Z22" s="15" t="n">
        <f aca="false">SUM(Z4:Z21)</f>
        <v>0</v>
      </c>
    </row>
  </sheetData>
  <mergeCells count="3">
    <mergeCell ref="A1:R1"/>
    <mergeCell ref="A2:R2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2026-04-14T23:34:47Z</dcterms:created>
  <dc:creator>openpyxl</dc:creator>
  <dc:description/>
  <dc:language>en-US</dc:language>
  <cp:lastModifiedBy/>
  <dcterms:modified xsi:type="dcterms:W3CDTF">2026-04-14T23:34:47Z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