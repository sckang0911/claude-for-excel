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人力成本明細" sheetId="1" state="visible" r:id="rId3"/>
    <sheet name="6個月情境預測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<sst xmlns="http://schemas.openxmlformats.org/spreadsheetml/2006/main" count="293" uniqueCount="213">
  <si>
    <r>
      <rPr>
        <b val="true"/>
        <sz val="13"/>
        <color rgb="FFFFFFFF"/>
        <rFont val="DejaVu Sans"/>
        <family val="2"/>
      </rPr>
      <t xml:space="preserve">人力成本情境模擬表（</t>
    </r>
    <r>
      <rPr>
        <b val="true"/>
        <sz val="13"/>
        <color rgb="FFFFFFFF"/>
        <rFont val="Arial"/>
        <family val="0"/>
        <charset val="1"/>
      </rPr>
      <t xml:space="preserve">2025</t>
    </r>
    <r>
      <rPr>
        <b val="true"/>
        <sz val="13"/>
        <color rgb="FFFFFFFF"/>
        <rFont val="DejaVu Sans"/>
        <family val="2"/>
      </rPr>
      <t xml:space="preserve">年</t>
    </r>
    <r>
      <rPr>
        <b val="true"/>
        <sz val="13"/>
        <color rgb="FFFFFFFF"/>
        <rFont val="Arial"/>
        <family val="0"/>
        <charset val="1"/>
      </rPr>
      <t xml:space="preserve">7</t>
    </r>
    <r>
      <rPr>
        <b val="true"/>
        <sz val="13"/>
        <color rgb="FFFFFFFF"/>
        <rFont val="DejaVu Sans"/>
        <family val="2"/>
      </rPr>
      <t xml:space="preserve">月～</t>
    </r>
    <r>
      <rPr>
        <b val="true"/>
        <sz val="13"/>
        <color rgb="FFFFFFFF"/>
        <rFont val="Arial"/>
        <family val="0"/>
        <charset val="1"/>
      </rPr>
      <t xml:space="preserve">12</t>
    </r>
    <r>
      <rPr>
        <b val="true"/>
        <sz val="13"/>
        <color rgb="FFFFFFFF"/>
        <rFont val="DejaVu Sans"/>
        <family val="2"/>
      </rPr>
      <t xml:space="preserve">月）</t>
    </r>
  </si>
  <si>
    <r>
      <rPr>
        <sz val="9"/>
        <color rgb="FF94A3B8"/>
        <rFont val="DejaVu Sans"/>
        <family val="2"/>
      </rPr>
      <t xml:space="preserve">分析基準：現行薪資結構　　情境假設：</t>
    </r>
    <r>
      <rPr>
        <sz val="9"/>
        <color rgb="FF94A3B8"/>
        <rFont val="Arial"/>
        <family val="0"/>
        <charset val="1"/>
      </rPr>
      <t xml:space="preserve">A=</t>
    </r>
    <r>
      <rPr>
        <sz val="9"/>
        <color rgb="FF94A3B8"/>
        <rFont val="DejaVu Sans"/>
        <family val="2"/>
      </rPr>
      <t xml:space="preserve">現況</t>
    </r>
    <r>
      <rPr>
        <sz val="9"/>
        <color rgb="FF94A3B8"/>
        <rFont val="Arial"/>
        <family val="0"/>
        <charset val="1"/>
      </rPr>
      <t xml:space="preserve">/B=+5%</t>
    </r>
    <r>
      <rPr>
        <sz val="9"/>
        <color rgb="FF94A3B8"/>
        <rFont val="DejaVu Sans"/>
        <family val="2"/>
      </rPr>
      <t xml:space="preserve">薪資</t>
    </r>
    <r>
      <rPr>
        <sz val="9"/>
        <color rgb="FF94A3B8"/>
        <rFont val="Arial"/>
        <family val="0"/>
        <charset val="1"/>
      </rPr>
      <t xml:space="preserve">/C=20%</t>
    </r>
    <r>
      <rPr>
        <sz val="9"/>
        <color rgb="FF94A3B8"/>
        <rFont val="DejaVu Sans"/>
        <family val="2"/>
      </rPr>
      <t xml:space="preserve">人員精簡　　單位：新台幣元</t>
    </r>
  </si>
  <si>
    <t xml:space="preserve">部門</t>
  </si>
  <si>
    <t xml:space="preserve">姓名</t>
  </si>
  <si>
    <t xml:space="preserve">職稱</t>
  </si>
  <si>
    <t xml:space="preserve">職級</t>
  </si>
  <si>
    <t xml:space="preserve">到職日</t>
  </si>
  <si>
    <t xml:space="preserve">基本薪資</t>
  </si>
  <si>
    <t xml:space="preserve">交通津貼</t>
  </si>
  <si>
    <t xml:space="preserve">伙食津貼</t>
  </si>
  <si>
    <t xml:space="preserve">住宅津貼</t>
  </si>
  <si>
    <t xml:space="preserve">月薪合計</t>
  </si>
  <si>
    <r>
      <rPr>
        <b val="true"/>
        <sz val="8"/>
        <color rgb="FF0F172A"/>
        <rFont val="DejaVu Sans"/>
        <family val="2"/>
      </rPr>
      <t xml:space="preserve">勞保費</t>
    </r>
    <r>
      <rPr>
        <b val="true"/>
        <sz val="8"/>
        <color rgb="FF0F172A"/>
        <rFont val="Arial"/>
        <family val="0"/>
        <charset val="1"/>
      </rPr>
      <t xml:space="preserve">(</t>
    </r>
    <r>
      <rPr>
        <b val="true"/>
        <sz val="8"/>
        <color rgb="FF0F172A"/>
        <rFont val="DejaVu Sans"/>
        <family val="2"/>
      </rPr>
      <t xml:space="preserve">雇</t>
    </r>
    <r>
      <rPr>
        <b val="true"/>
        <sz val="8"/>
        <color rgb="FF0F172A"/>
        <rFont val="Arial"/>
        <family val="0"/>
        <charset val="1"/>
      </rPr>
      <t xml:space="preserve">)</t>
    </r>
  </si>
  <si>
    <r>
      <rPr>
        <b val="true"/>
        <sz val="8"/>
        <color rgb="FF0F172A"/>
        <rFont val="DejaVu Sans"/>
        <family val="2"/>
      </rPr>
      <t xml:space="preserve">健保費</t>
    </r>
    <r>
      <rPr>
        <b val="true"/>
        <sz val="8"/>
        <color rgb="FF0F172A"/>
        <rFont val="Arial"/>
        <family val="0"/>
        <charset val="1"/>
      </rPr>
      <t xml:space="preserve">(</t>
    </r>
    <r>
      <rPr>
        <b val="true"/>
        <sz val="8"/>
        <color rgb="FF0F172A"/>
        <rFont val="DejaVu Sans"/>
        <family val="2"/>
      </rPr>
      <t xml:space="preserve">雇</t>
    </r>
    <r>
      <rPr>
        <b val="true"/>
        <sz val="8"/>
        <color rgb="FF0F172A"/>
        <rFont val="Arial"/>
        <family val="0"/>
        <charset val="1"/>
      </rPr>
      <t xml:space="preserve">)</t>
    </r>
  </si>
  <si>
    <t xml:space="preserve">退休金提撥</t>
  </si>
  <si>
    <t xml:space="preserve">月人事成本</t>
  </si>
  <si>
    <r>
      <rPr>
        <b val="true"/>
        <sz val="8"/>
        <color rgb="FF0F172A"/>
        <rFont val="DejaVu Sans"/>
        <family val="2"/>
      </rPr>
      <t xml:space="preserve">情境</t>
    </r>
    <r>
      <rPr>
        <b val="true"/>
        <sz val="8"/>
        <color rgb="FF0F172A"/>
        <rFont val="Arial"/>
        <family val="0"/>
        <charset val="1"/>
      </rPr>
      <t xml:space="preserve">A
</t>
    </r>
    <r>
      <rPr>
        <b val="true"/>
        <sz val="8"/>
        <color rgb="FF0F172A"/>
        <rFont val="DejaVu Sans"/>
        <family val="2"/>
      </rPr>
      <t xml:space="preserve">月成本</t>
    </r>
  </si>
  <si>
    <r>
      <rPr>
        <b val="true"/>
        <sz val="8"/>
        <color rgb="FF0F172A"/>
        <rFont val="DejaVu Sans"/>
        <family val="2"/>
      </rPr>
      <t xml:space="preserve">情境</t>
    </r>
    <r>
      <rPr>
        <b val="true"/>
        <sz val="8"/>
        <color rgb="FF0F172A"/>
        <rFont val="Arial"/>
        <family val="0"/>
        <charset val="1"/>
      </rPr>
      <t xml:space="preserve">B
</t>
    </r>
    <r>
      <rPr>
        <b val="true"/>
        <sz val="8"/>
        <color rgb="FF0F172A"/>
        <rFont val="DejaVu Sans"/>
        <family val="2"/>
      </rPr>
      <t xml:space="preserve">月成本</t>
    </r>
    <r>
      <rPr>
        <b val="true"/>
        <sz val="8"/>
        <color rgb="FF0F172A"/>
        <rFont val="Arial"/>
        <family val="0"/>
        <charset val="1"/>
      </rPr>
      <t xml:space="preserve">(+5%)</t>
    </r>
  </si>
  <si>
    <t xml:space="preserve">護理部</t>
  </si>
  <si>
    <t xml:space="preserve">陳怡君</t>
  </si>
  <si>
    <t xml:space="preserve">護理長</t>
  </si>
  <si>
    <t xml:space="preserve">P5</t>
  </si>
  <si>
    <t xml:space="preserve">2018-03-01</t>
  </si>
  <si>
    <t xml:space="preserve">林佳慧</t>
  </si>
  <si>
    <t xml:space="preserve">資深護理師</t>
  </si>
  <si>
    <t xml:space="preserve">P4</t>
  </si>
  <si>
    <t xml:space="preserve">2019-07-15</t>
  </si>
  <si>
    <t xml:space="preserve">黃淑芬</t>
  </si>
  <si>
    <t xml:space="preserve">2020-01-08</t>
  </si>
  <si>
    <t xml:space="preserve">王美玲</t>
  </si>
  <si>
    <t xml:space="preserve">護理師</t>
  </si>
  <si>
    <t xml:space="preserve">P3</t>
  </si>
  <si>
    <t xml:space="preserve">2021-06-01</t>
  </si>
  <si>
    <t xml:space="preserve">吳雅婷</t>
  </si>
  <si>
    <t xml:space="preserve">2022-03-15</t>
  </si>
  <si>
    <t xml:space="preserve">劉俐君</t>
  </si>
  <si>
    <t xml:space="preserve">2022-09-01</t>
  </si>
  <si>
    <t xml:space="preserve">張雯雯</t>
  </si>
  <si>
    <t xml:space="preserve">2023-04-01</t>
  </si>
  <si>
    <t xml:space="preserve">謝欣儀</t>
  </si>
  <si>
    <t xml:space="preserve">P2</t>
  </si>
  <si>
    <t xml:space="preserve">2023-10-01</t>
  </si>
  <si>
    <t xml:space="preserve">賴佳琳</t>
  </si>
  <si>
    <t xml:space="preserve">2024-02-01</t>
  </si>
  <si>
    <t xml:space="preserve">方怡如</t>
  </si>
  <si>
    <t xml:space="preserve">助理護理師</t>
  </si>
  <si>
    <t xml:space="preserve">P1</t>
  </si>
  <si>
    <t xml:space="preserve">2024-07-01</t>
  </si>
  <si>
    <t xml:space="preserve">醫師</t>
  </si>
  <si>
    <t xml:space="preserve">蘇建民</t>
  </si>
  <si>
    <t xml:space="preserve">主治醫師</t>
  </si>
  <si>
    <t xml:space="preserve">MD5</t>
  </si>
  <si>
    <t xml:space="preserve">2015-09-01</t>
  </si>
  <si>
    <t xml:space="preserve">洪文祥</t>
  </si>
  <si>
    <t xml:space="preserve">2016-03-01</t>
  </si>
  <si>
    <t xml:space="preserve">余佳蓉</t>
  </si>
  <si>
    <t xml:space="preserve">MD4</t>
  </si>
  <si>
    <t xml:space="preserve">2018-11-01</t>
  </si>
  <si>
    <t xml:space="preserve">曾裕翔</t>
  </si>
  <si>
    <t xml:space="preserve">住院醫師</t>
  </si>
  <si>
    <t xml:space="preserve">MD3</t>
  </si>
  <si>
    <t xml:space="preserve">2021-07-01</t>
  </si>
  <si>
    <t xml:space="preserve">葉冠廷</t>
  </si>
  <si>
    <t xml:space="preserve">2022-07-01</t>
  </si>
  <si>
    <t xml:space="preserve">陳彥廷</t>
  </si>
  <si>
    <t xml:space="preserve">MD2</t>
  </si>
  <si>
    <t xml:space="preserve">2023-07-01</t>
  </si>
  <si>
    <t xml:space="preserve">施雅文</t>
  </si>
  <si>
    <t xml:space="preserve">實習醫師</t>
  </si>
  <si>
    <t xml:space="preserve">MD1</t>
  </si>
  <si>
    <t xml:space="preserve">行政部</t>
  </si>
  <si>
    <t xml:space="preserve">許淑惠</t>
  </si>
  <si>
    <t xml:space="preserve">行政主任</t>
  </si>
  <si>
    <t xml:space="preserve">A5</t>
  </si>
  <si>
    <t xml:space="preserve">2016-05-01</t>
  </si>
  <si>
    <t xml:space="preserve">楊雅慧</t>
  </si>
  <si>
    <t xml:space="preserve">高級專員</t>
  </si>
  <si>
    <t xml:space="preserve">A4</t>
  </si>
  <si>
    <t xml:space="preserve">2018-08-01</t>
  </si>
  <si>
    <t xml:space="preserve">鄭欣如</t>
  </si>
  <si>
    <t xml:space="preserve">專員</t>
  </si>
  <si>
    <t xml:space="preserve">A3</t>
  </si>
  <si>
    <t xml:space="preserve">2020-03-01</t>
  </si>
  <si>
    <t xml:space="preserve">林怡萱</t>
  </si>
  <si>
    <t xml:space="preserve">助理專員</t>
  </si>
  <si>
    <t xml:space="preserve">A2</t>
  </si>
  <si>
    <t xml:space="preserve">2022-06-01</t>
  </si>
  <si>
    <t xml:space="preserve">鍾佳穎</t>
  </si>
  <si>
    <t xml:space="preserve">行政助理</t>
  </si>
  <si>
    <t xml:space="preserve">A1</t>
  </si>
  <si>
    <t xml:space="preserve">2023-09-01</t>
  </si>
  <si>
    <t xml:space="preserve">蕭怡君</t>
  </si>
  <si>
    <t xml:space="preserve">2024-01-15</t>
  </si>
  <si>
    <t xml:space="preserve">藥劑部</t>
  </si>
  <si>
    <t xml:space="preserve">黃文正</t>
  </si>
  <si>
    <t xml:space="preserve">藥劑主任</t>
  </si>
  <si>
    <t xml:space="preserve">PH5</t>
  </si>
  <si>
    <t xml:space="preserve">2014-07-01</t>
  </si>
  <si>
    <t xml:space="preserve">蔡宜芳</t>
  </si>
  <si>
    <t xml:space="preserve">資深藥師</t>
  </si>
  <si>
    <t xml:space="preserve">PH4</t>
  </si>
  <si>
    <t xml:space="preserve">2017-11-01</t>
  </si>
  <si>
    <t xml:space="preserve">周俊宏</t>
  </si>
  <si>
    <t xml:space="preserve">藥師</t>
  </si>
  <si>
    <t xml:space="preserve">PH3</t>
  </si>
  <si>
    <t xml:space="preserve">2020-05-01</t>
  </si>
  <si>
    <t xml:space="preserve">吳佩君</t>
  </si>
  <si>
    <t xml:space="preserve">2021-08-01</t>
  </si>
  <si>
    <t xml:space="preserve">陳文凱</t>
  </si>
  <si>
    <t xml:space="preserve">PH2</t>
  </si>
  <si>
    <t xml:space="preserve">2023-01-01</t>
  </si>
  <si>
    <t xml:space="preserve">李孟翰</t>
  </si>
  <si>
    <t xml:space="preserve">藥師助理</t>
  </si>
  <si>
    <t xml:space="preserve">PH1</t>
  </si>
  <si>
    <t xml:space="preserve">2024-04-01</t>
  </si>
  <si>
    <t xml:space="preserve">放射科</t>
  </si>
  <si>
    <t xml:space="preserve">廖志豪</t>
  </si>
  <si>
    <t xml:space="preserve">放射科主任</t>
  </si>
  <si>
    <t xml:space="preserve">RT5</t>
  </si>
  <si>
    <t xml:space="preserve">2013-09-01</t>
  </si>
  <si>
    <t xml:space="preserve">羅淑芬</t>
  </si>
  <si>
    <t xml:space="preserve">資深放射師</t>
  </si>
  <si>
    <t xml:space="preserve">RT4</t>
  </si>
  <si>
    <t xml:space="preserve">2016-06-01</t>
  </si>
  <si>
    <t xml:space="preserve">莊文達</t>
  </si>
  <si>
    <t xml:space="preserve">放射師</t>
  </si>
  <si>
    <t xml:space="preserve">RT3</t>
  </si>
  <si>
    <t xml:space="preserve">2019-10-01</t>
  </si>
  <si>
    <t xml:space="preserve">陳怡婷</t>
  </si>
  <si>
    <t xml:space="preserve">2021-03-01</t>
  </si>
  <si>
    <t xml:space="preserve">江雅玲</t>
  </si>
  <si>
    <t xml:space="preserve">RT2</t>
  </si>
  <si>
    <t xml:space="preserve">檢驗科</t>
  </si>
  <si>
    <t xml:space="preserve">謝建志</t>
  </si>
  <si>
    <t xml:space="preserve">檢驗主任</t>
  </si>
  <si>
    <t xml:space="preserve">LAB5</t>
  </si>
  <si>
    <t xml:space="preserve">2012-04-01</t>
  </si>
  <si>
    <t xml:space="preserve">吳淑惠</t>
  </si>
  <si>
    <t xml:space="preserve">資深檢驗師</t>
  </si>
  <si>
    <t xml:space="preserve">LAB4</t>
  </si>
  <si>
    <t xml:space="preserve">2015-08-01</t>
  </si>
  <si>
    <t xml:space="preserve">鄭俊良</t>
  </si>
  <si>
    <t xml:space="preserve">檢驗師</t>
  </si>
  <si>
    <t xml:space="preserve">LAB3</t>
  </si>
  <si>
    <t xml:space="preserve">2018-12-01</t>
  </si>
  <si>
    <t xml:space="preserve">林雅琪</t>
  </si>
  <si>
    <t xml:space="preserve">2020-06-01</t>
  </si>
  <si>
    <t xml:space="preserve">許婷如</t>
  </si>
  <si>
    <t xml:space="preserve">LAB2</t>
  </si>
  <si>
    <t xml:space="preserve">2022-10-01</t>
  </si>
  <si>
    <t xml:space="preserve">葉建宏</t>
  </si>
  <si>
    <t xml:space="preserve">檢驗助理</t>
  </si>
  <si>
    <t xml:space="preserve">LAB1</t>
  </si>
  <si>
    <t xml:space="preserve">2024-05-01</t>
  </si>
  <si>
    <t xml:space="preserve">資訊室</t>
  </si>
  <si>
    <t xml:space="preserve">張哲維</t>
  </si>
  <si>
    <t xml:space="preserve">資訊主任</t>
  </si>
  <si>
    <t xml:space="preserve">IT5</t>
  </si>
  <si>
    <t xml:space="preserve">2015-01-01</t>
  </si>
  <si>
    <t xml:space="preserve">蘇俊賢</t>
  </si>
  <si>
    <t xml:space="preserve">資深工程師</t>
  </si>
  <si>
    <t xml:space="preserve">IT4</t>
  </si>
  <si>
    <t xml:space="preserve">2017-05-01</t>
  </si>
  <si>
    <t xml:space="preserve">劉怡萱</t>
  </si>
  <si>
    <t xml:space="preserve">工程師</t>
  </si>
  <si>
    <t xml:space="preserve">IT3</t>
  </si>
  <si>
    <t xml:space="preserve">2020-08-01</t>
  </si>
  <si>
    <t xml:space="preserve">陳嘉欣</t>
  </si>
  <si>
    <t xml:space="preserve">2021-11-01</t>
  </si>
  <si>
    <t xml:space="preserve">王志豪</t>
  </si>
  <si>
    <t xml:space="preserve">初級工程師</t>
  </si>
  <si>
    <t xml:space="preserve">IT2</t>
  </si>
  <si>
    <t xml:space="preserve">2023-06-01</t>
  </si>
  <si>
    <t xml:space="preserve">總務室</t>
  </si>
  <si>
    <t xml:space="preserve">林建成</t>
  </si>
  <si>
    <t xml:space="preserve">總務主任</t>
  </si>
  <si>
    <t xml:space="preserve">GM5</t>
  </si>
  <si>
    <t xml:space="preserve">2014-03-01</t>
  </si>
  <si>
    <t xml:space="preserve">洪雅婷</t>
  </si>
  <si>
    <t xml:space="preserve">GM3</t>
  </si>
  <si>
    <t xml:space="preserve">2018-07-01</t>
  </si>
  <si>
    <t xml:space="preserve">黃俊男</t>
  </si>
  <si>
    <t xml:space="preserve">GM2</t>
  </si>
  <si>
    <t xml:space="preserve">2021-04-01</t>
  </si>
  <si>
    <t xml:space="preserve">邱雅如</t>
  </si>
  <si>
    <t xml:space="preserve">助理</t>
  </si>
  <si>
    <t xml:space="preserve">GM1</t>
  </si>
  <si>
    <t xml:space="preserve">2024-01-01</t>
  </si>
  <si>
    <t xml:space="preserve">護理部 小計</t>
  </si>
  <si>
    <t xml:space="preserve">醫師 小計</t>
  </si>
  <si>
    <t xml:space="preserve">行政部 小計</t>
  </si>
  <si>
    <t xml:space="preserve">藥劑部 小計</t>
  </si>
  <si>
    <t xml:space="preserve">放射科 小計</t>
  </si>
  <si>
    <t xml:space="preserve">檢驗科 小計</t>
  </si>
  <si>
    <t xml:space="preserve">資訊室 小計</t>
  </si>
  <si>
    <t xml:space="preserve">總務室 小計</t>
  </si>
  <si>
    <t xml:space="preserve">全院合計</t>
  </si>
  <si>
    <r>
      <rPr>
        <b val="true"/>
        <sz val="12"/>
        <color rgb="FFFFFFFF"/>
        <rFont val="Arial"/>
        <family val="0"/>
        <charset val="1"/>
      </rPr>
      <t xml:space="preserve">6</t>
    </r>
    <r>
      <rPr>
        <b val="true"/>
        <sz val="12"/>
        <color rgb="FFFFFFFF"/>
        <rFont val="DejaVu Sans"/>
        <family val="2"/>
      </rPr>
      <t xml:space="preserve">個月人力成本情境預測</t>
    </r>
  </si>
  <si>
    <t xml:space="preserve">月份</t>
  </si>
  <si>
    <r>
      <rPr>
        <b val="true"/>
        <sz val="9"/>
        <color rgb="FF0F172A"/>
        <rFont val="DejaVu Sans"/>
        <family val="2"/>
      </rPr>
      <t xml:space="preserve">情境</t>
    </r>
    <r>
      <rPr>
        <b val="true"/>
        <sz val="9"/>
        <color rgb="FF0F172A"/>
        <rFont val="Arial"/>
        <family val="0"/>
        <charset val="1"/>
      </rPr>
      <t xml:space="preserve">A</t>
    </r>
    <r>
      <rPr>
        <b val="true"/>
        <sz val="9"/>
        <color rgb="FF0F172A"/>
        <rFont val="DejaVu Sans"/>
        <family val="2"/>
      </rPr>
      <t xml:space="preserve">（現況）</t>
    </r>
  </si>
  <si>
    <r>
      <rPr>
        <b val="true"/>
        <sz val="9"/>
        <color rgb="FF0F172A"/>
        <rFont val="DejaVu Sans"/>
        <family val="2"/>
      </rPr>
      <t xml:space="preserve">情境</t>
    </r>
    <r>
      <rPr>
        <b val="true"/>
        <sz val="9"/>
        <color rgb="FF0F172A"/>
        <rFont val="Arial"/>
        <family val="0"/>
        <charset val="1"/>
      </rPr>
      <t xml:space="preserve">B</t>
    </r>
    <r>
      <rPr>
        <b val="true"/>
        <sz val="9"/>
        <color rgb="FF0F172A"/>
        <rFont val="DejaVu Sans"/>
        <family val="2"/>
      </rPr>
      <t xml:space="preserve">（加薪</t>
    </r>
    <r>
      <rPr>
        <b val="true"/>
        <sz val="9"/>
        <color rgb="FF0F172A"/>
        <rFont val="Arial"/>
        <family val="0"/>
        <charset val="1"/>
      </rPr>
      <t xml:space="preserve">+5%</t>
    </r>
    <r>
      <rPr>
        <b val="true"/>
        <sz val="9"/>
        <color rgb="FF0F172A"/>
        <rFont val="DejaVu Sans"/>
        <family val="2"/>
      </rPr>
      <t xml:space="preserve">）</t>
    </r>
  </si>
  <si>
    <r>
      <rPr>
        <b val="true"/>
        <sz val="9"/>
        <color rgb="FF0F172A"/>
        <rFont val="DejaVu Sans"/>
        <family val="2"/>
      </rPr>
      <t xml:space="preserve">情境</t>
    </r>
    <r>
      <rPr>
        <b val="true"/>
        <sz val="9"/>
        <color rgb="FF0F172A"/>
        <rFont val="Arial"/>
        <family val="0"/>
        <charset val="1"/>
      </rPr>
      <t xml:space="preserve">C</t>
    </r>
    <r>
      <rPr>
        <b val="true"/>
        <sz val="9"/>
        <color rgb="FF0F172A"/>
        <rFont val="DejaVu Sans"/>
        <family val="2"/>
      </rPr>
      <t xml:space="preserve">（精簡</t>
    </r>
    <r>
      <rPr>
        <b val="true"/>
        <sz val="9"/>
        <color rgb="FF0F172A"/>
        <rFont val="Arial"/>
        <family val="0"/>
        <charset val="1"/>
      </rPr>
      <t xml:space="preserve">-20%</t>
    </r>
    <r>
      <rPr>
        <b val="true"/>
        <sz val="9"/>
        <color rgb="FF0F172A"/>
        <rFont val="DejaVu Sans"/>
        <family val="2"/>
      </rPr>
      <t xml:space="preserve">）</t>
    </r>
  </si>
  <si>
    <r>
      <rPr>
        <b val="true"/>
        <sz val="9"/>
        <color rgb="FF0F172A"/>
        <rFont val="Arial"/>
        <family val="0"/>
        <charset val="1"/>
      </rPr>
      <t xml:space="preserve">A vs B</t>
    </r>
    <r>
      <rPr>
        <b val="true"/>
        <sz val="9"/>
        <color rgb="FF0F172A"/>
        <rFont val="DejaVu Sans"/>
        <family val="2"/>
      </rPr>
      <t xml:space="preserve">差異</t>
    </r>
  </si>
  <si>
    <r>
      <rPr>
        <b val="true"/>
        <sz val="9"/>
        <color rgb="FF0F172A"/>
        <rFont val="Arial"/>
        <family val="0"/>
        <charset val="1"/>
      </rPr>
      <t xml:space="preserve">A vs C</t>
    </r>
    <r>
      <rPr>
        <b val="true"/>
        <sz val="9"/>
        <color rgb="FF0F172A"/>
        <rFont val="DejaVu Sans"/>
        <family val="2"/>
      </rPr>
      <t xml:space="preserve">差異</t>
    </r>
  </si>
  <si>
    <t xml:space="preserve">最佳情境</t>
  </si>
  <si>
    <t xml:space="preserve">2025-07</t>
  </si>
  <si>
    <t xml:space="preserve">C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</si>
  <si>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</si>
  <si>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</si>
  <si>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</si>
  <si>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</si>
  <si>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</si>
  <si>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r>
      <rPr>
        <b val="true"/>
        <sz val="9"/>
        <rFont val="Arial"/>
        <family val="0"/>
        <charset val="1"/>
      </rPr>
      <t xml:space="preserve">6</t>
    </r>
    <r>
      <rPr>
        <b val="true"/>
        <sz val="9"/>
        <rFont val="DejaVu Sans"/>
        <family val="2"/>
      </rPr>
      <t xml:space="preserve">個月合計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</si>
</sst>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  <font>
      <sz val="9"/>
      <color rgb="FF94A3B8"/>
      <name val="DejaVu Sans"/>
      <family val="2"/>
    </font>
    <font>
      <sz val="9"/>
      <color rgb="FF94A3B8"/>
      <name val="Arial"/>
      <family val="0"/>
      <charset val="1"/>
    </font>
    <font>
      <b val="true"/>
      <sz val="8"/>
      <color rgb="FF0F172A"/>
      <name val="DejaVu Sans"/>
      <family val="2"/>
    </font>
    <font>
      <b val="true"/>
      <sz val="8"/>
      <color rgb="FF0F172A"/>
      <name val="Arial"/>
      <family val="0"/>
      <charset val="1"/>
    </font>
    <font>
      <sz val="9"/>
      <color rgb="FF0F172A"/>
      <name val="DejaVu Sans"/>
      <family val="2"/>
    </font>
    <font>
      <sz val="9"/>
      <color rgb="FF0F172A"/>
      <name val="Arial"/>
      <family val="0"/>
      <charset val="1"/>
    </font>
    <font>
      <b val="true"/>
      <sz val="9"/>
      <name val="DejaVu Sans"/>
      <family val="2"/>
    </font>
    <font>
      <b val="true"/>
      <sz val="9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9"/>
      <color rgb="FF0F172A"/>
      <name val="DejaVu Sans"/>
      <family val="2"/>
    </font>
    <font>
      <b val="true"/>
      <sz val="9"/>
      <color rgb="FF0F172A"/>
      <name val="Arial"/>
      <family val="0"/>
      <charset val="1"/>
    </font>
    <font>
      <sz val="9"/>
      <name val="Arial"/>
      <family val="0"/>
      <charset val="1"/>
    </font>
    <font>
      <sz val="9"/>
      <color rgb="FF991B1B"/>
      <name val="Arial"/>
      <family val="0"/>
      <charset val="1"/>
    </font>
    <font>
      <sz val="9"/>
      <color rgb="FF16653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00C8B4"/>
        <bgColor rgb="FF33CCCC"/>
      </patternFill>
    </fill>
    <fill>
      <patternFill patternType="solid">
        <fgColor rgb="FFF0F9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0F9FF"/>
      </patternFill>
    </fill>
    <fill>
      <patternFill patternType="solid">
        <fgColor rgb="FFCBD5E1"/>
        <bgColor rgb="FFE2E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F0F9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8B4"/>
      <rgbColor rgb="FFE2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4A3B8"/>
      <rgbColor rgb="FF003366"/>
      <rgbColor rgb="FF339966"/>
      <rgbColor rgb="FF0F172A"/>
      <rgbColor rgb="FF333300"/>
      <rgbColor rgb="FF991B1B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10"/>
    <col collapsed="false" customWidth="true" hidden="false" outlineLevel="0" max="10" min="10" style="0" width="12"/>
    <col collapsed="false" customWidth="true" hidden="false" outlineLevel="0" max="13" min="11" style="0" width="11"/>
    <col collapsed="false" customWidth="true" hidden="false" outlineLevel="0" max="15" min="14" style="0" width="12"/>
    <col collapsed="false" customWidth="true" hidden="false" outlineLevel="0" max="16" min="16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5" hidden="false" customHeight="true" outlineLevel="0" collapsed="false">
      <c r="A4" s="4" t="s">
        <v>18</v>
      </c>
      <c r="B4" s="4" t="s">
        <v>19</v>
      </c>
      <c r="C4" s="4" t="s">
        <v>20</v>
      </c>
      <c r="D4" s="5" t="s">
        <v>21</v>
      </c>
      <c r="E4" s="6" t="s">
        <v>22</v>
      </c>
      <c r="F4" s="7" t="n">
        <v>72000</v>
      </c>
      <c r="G4" s="7" t="n">
        <v>3000</v>
      </c>
      <c r="H4" s="7" t="n">
        <v>2400</v>
      </c>
      <c r="I4" s="7" t="n">
        <v>8000</v>
      </c>
      <c r="J4" s="7" t="n">
        <v>85400</v>
      </c>
      <c r="K4" s="7" t="n">
        <v>8967</v>
      </c>
      <c r="L4" s="7" t="n">
        <v>4663</v>
      </c>
      <c r="M4" s="7" t="n">
        <v>5124</v>
      </c>
      <c r="N4" s="7" t="n">
        <v>104154</v>
      </c>
      <c r="O4" s="7" t="n">
        <v>104154</v>
      </c>
      <c r="P4" s="7" t="n">
        <v>109362</v>
      </c>
    </row>
    <row r="5" customFormat="false" ht="15" hidden="false" customHeight="true" outlineLevel="0" collapsed="false">
      <c r="A5" s="8" t="s">
        <v>18</v>
      </c>
      <c r="B5" s="8" t="s">
        <v>23</v>
      </c>
      <c r="C5" s="8" t="s">
        <v>24</v>
      </c>
      <c r="D5" s="9" t="s">
        <v>25</v>
      </c>
      <c r="E5" s="10" t="s">
        <v>26</v>
      </c>
      <c r="F5" s="11" t="n">
        <v>62000</v>
      </c>
      <c r="G5" s="11" t="n">
        <v>3000</v>
      </c>
      <c r="H5" s="11" t="n">
        <v>2400</v>
      </c>
      <c r="I5" s="11" t="n">
        <v>8000</v>
      </c>
      <c r="J5" s="11" t="n">
        <v>75400</v>
      </c>
      <c r="K5" s="11" t="n">
        <v>7917</v>
      </c>
      <c r="L5" s="11" t="n">
        <v>4117</v>
      </c>
      <c r="M5" s="11" t="n">
        <v>4524</v>
      </c>
      <c r="N5" s="11" t="n">
        <v>91958</v>
      </c>
      <c r="O5" s="11" t="n">
        <v>91958</v>
      </c>
      <c r="P5" s="11" t="n">
        <v>96556</v>
      </c>
    </row>
    <row r="6" customFormat="false" ht="15" hidden="false" customHeight="true" outlineLevel="0" collapsed="false">
      <c r="A6" s="12" t="s">
        <v>18</v>
      </c>
      <c r="B6" s="12" t="s">
        <v>27</v>
      </c>
      <c r="C6" s="12" t="s">
        <v>24</v>
      </c>
      <c r="D6" s="13" t="s">
        <v>25</v>
      </c>
      <c r="E6" s="14" t="s">
        <v>28</v>
      </c>
      <c r="F6" s="15" t="n">
        <v>60000</v>
      </c>
      <c r="G6" s="15" t="n">
        <v>3000</v>
      </c>
      <c r="H6" s="15" t="n">
        <v>2400</v>
      </c>
      <c r="I6" s="15" t="n">
        <v>8000</v>
      </c>
      <c r="J6" s="15" t="n">
        <v>73400</v>
      </c>
      <c r="K6" s="15" t="n">
        <v>7707</v>
      </c>
      <c r="L6" s="15" t="n">
        <v>4008</v>
      </c>
      <c r="M6" s="15" t="n">
        <v>4404</v>
      </c>
      <c r="N6" s="15" t="n">
        <v>89519</v>
      </c>
      <c r="O6" s="15" t="n">
        <v>89519</v>
      </c>
      <c r="P6" s="15" t="n">
        <v>93995</v>
      </c>
    </row>
    <row r="7" customFormat="false" ht="15" hidden="false" customHeight="true" outlineLevel="0" collapsed="false">
      <c r="A7" s="8" t="s">
        <v>18</v>
      </c>
      <c r="B7" s="8" t="s">
        <v>29</v>
      </c>
      <c r="C7" s="8" t="s">
        <v>30</v>
      </c>
      <c r="D7" s="9" t="s">
        <v>31</v>
      </c>
      <c r="E7" s="10" t="s">
        <v>32</v>
      </c>
      <c r="F7" s="11" t="n">
        <v>52000</v>
      </c>
      <c r="G7" s="11" t="n">
        <v>3000</v>
      </c>
      <c r="H7" s="11" t="n">
        <v>2400</v>
      </c>
      <c r="I7" s="11" t="n">
        <v>0</v>
      </c>
      <c r="J7" s="11" t="n">
        <v>57400</v>
      </c>
      <c r="K7" s="11" t="n">
        <v>6027</v>
      </c>
      <c r="L7" s="11" t="n">
        <v>3134</v>
      </c>
      <c r="M7" s="11" t="n">
        <v>3444</v>
      </c>
      <c r="N7" s="11" t="n">
        <v>70005</v>
      </c>
      <c r="O7" s="11" t="n">
        <v>70005</v>
      </c>
      <c r="P7" s="11" t="n">
        <v>73505</v>
      </c>
    </row>
    <row r="8" customFormat="false" ht="15" hidden="false" customHeight="true" outlineLevel="0" collapsed="false">
      <c r="A8" s="12" t="s">
        <v>18</v>
      </c>
      <c r="B8" s="12" t="s">
        <v>33</v>
      </c>
      <c r="C8" s="12" t="s">
        <v>30</v>
      </c>
      <c r="D8" s="13" t="s">
        <v>31</v>
      </c>
      <c r="E8" s="14" t="s">
        <v>34</v>
      </c>
      <c r="F8" s="15" t="n">
        <v>50000</v>
      </c>
      <c r="G8" s="15" t="n">
        <v>3000</v>
      </c>
      <c r="H8" s="15" t="n">
        <v>2400</v>
      </c>
      <c r="I8" s="15" t="n">
        <v>0</v>
      </c>
      <c r="J8" s="15" t="n">
        <v>55400</v>
      </c>
      <c r="K8" s="15" t="n">
        <v>5817</v>
      </c>
      <c r="L8" s="15" t="n">
        <v>3025</v>
      </c>
      <c r="M8" s="15" t="n">
        <v>3324</v>
      </c>
      <c r="N8" s="15" t="n">
        <v>67566</v>
      </c>
      <c r="O8" s="15" t="n">
        <v>67566</v>
      </c>
      <c r="P8" s="15" t="n">
        <v>70944</v>
      </c>
    </row>
    <row r="9" customFormat="false" ht="15" hidden="false" customHeight="true" outlineLevel="0" collapsed="false">
      <c r="A9" s="8" t="s">
        <v>18</v>
      </c>
      <c r="B9" s="8" t="s">
        <v>35</v>
      </c>
      <c r="C9" s="8" t="s">
        <v>30</v>
      </c>
      <c r="D9" s="9" t="s">
        <v>31</v>
      </c>
      <c r="E9" s="10" t="s">
        <v>36</v>
      </c>
      <c r="F9" s="11" t="n">
        <v>50000</v>
      </c>
      <c r="G9" s="11" t="n">
        <v>3000</v>
      </c>
      <c r="H9" s="11" t="n">
        <v>2400</v>
      </c>
      <c r="I9" s="11" t="n">
        <v>0</v>
      </c>
      <c r="J9" s="11" t="n">
        <v>55400</v>
      </c>
      <c r="K9" s="11" t="n">
        <v>5817</v>
      </c>
      <c r="L9" s="11" t="n">
        <v>3025</v>
      </c>
      <c r="M9" s="11" t="n">
        <v>3324</v>
      </c>
      <c r="N9" s="11" t="n">
        <v>67566</v>
      </c>
      <c r="O9" s="11" t="n">
        <v>67566</v>
      </c>
      <c r="P9" s="11" t="n">
        <v>70944</v>
      </c>
    </row>
    <row r="10" customFormat="false" ht="15" hidden="false" customHeight="true" outlineLevel="0" collapsed="false">
      <c r="A10" s="12" t="s">
        <v>18</v>
      </c>
      <c r="B10" s="12" t="s">
        <v>37</v>
      </c>
      <c r="C10" s="12" t="s">
        <v>30</v>
      </c>
      <c r="D10" s="13" t="s">
        <v>31</v>
      </c>
      <c r="E10" s="14" t="s">
        <v>38</v>
      </c>
      <c r="F10" s="15" t="n">
        <v>48000</v>
      </c>
      <c r="G10" s="15" t="n">
        <v>3000</v>
      </c>
      <c r="H10" s="15" t="n">
        <v>2400</v>
      </c>
      <c r="I10" s="15" t="n">
        <v>0</v>
      </c>
      <c r="J10" s="15" t="n">
        <v>53400</v>
      </c>
      <c r="K10" s="15" t="n">
        <v>5607</v>
      </c>
      <c r="L10" s="15" t="n">
        <v>2916</v>
      </c>
      <c r="M10" s="15" t="n">
        <v>3204</v>
      </c>
      <c r="N10" s="15" t="n">
        <v>65127</v>
      </c>
      <c r="O10" s="15" t="n">
        <v>65127</v>
      </c>
      <c r="P10" s="15" t="n">
        <v>68383</v>
      </c>
    </row>
    <row r="11" customFormat="false" ht="15" hidden="false" customHeight="true" outlineLevel="0" collapsed="false">
      <c r="A11" s="8" t="s">
        <v>18</v>
      </c>
      <c r="B11" s="8" t="s">
        <v>39</v>
      </c>
      <c r="C11" s="8" t="s">
        <v>30</v>
      </c>
      <c r="D11" s="9" t="s">
        <v>40</v>
      </c>
      <c r="E11" s="10" t="s">
        <v>41</v>
      </c>
      <c r="F11" s="11" t="n">
        <v>45000</v>
      </c>
      <c r="G11" s="11" t="n">
        <v>3000</v>
      </c>
      <c r="H11" s="11" t="n">
        <v>2400</v>
      </c>
      <c r="I11" s="11" t="n">
        <v>0</v>
      </c>
      <c r="J11" s="11" t="n">
        <v>50400</v>
      </c>
      <c r="K11" s="11" t="n">
        <v>5292</v>
      </c>
      <c r="L11" s="11" t="n">
        <v>2752</v>
      </c>
      <c r="M11" s="11" t="n">
        <v>3024</v>
      </c>
      <c r="N11" s="11" t="n">
        <v>61468</v>
      </c>
      <c r="O11" s="11" t="n">
        <v>61468</v>
      </c>
      <c r="P11" s="11" t="n">
        <v>64541</v>
      </c>
    </row>
    <row r="12" customFormat="false" ht="15" hidden="false" customHeight="true" outlineLevel="0" collapsed="false">
      <c r="A12" s="12" t="s">
        <v>18</v>
      </c>
      <c r="B12" s="12" t="s">
        <v>42</v>
      </c>
      <c r="C12" s="12" t="s">
        <v>30</v>
      </c>
      <c r="D12" s="13" t="s">
        <v>40</v>
      </c>
      <c r="E12" s="14" t="s">
        <v>43</v>
      </c>
      <c r="F12" s="15" t="n">
        <v>45000</v>
      </c>
      <c r="G12" s="15" t="n">
        <v>3000</v>
      </c>
      <c r="H12" s="15" t="n">
        <v>2400</v>
      </c>
      <c r="I12" s="15" t="n">
        <v>0</v>
      </c>
      <c r="J12" s="15" t="n">
        <v>50400</v>
      </c>
      <c r="K12" s="15" t="n">
        <v>5292</v>
      </c>
      <c r="L12" s="15" t="n">
        <v>2752</v>
      </c>
      <c r="M12" s="15" t="n">
        <v>3024</v>
      </c>
      <c r="N12" s="15" t="n">
        <v>61468</v>
      </c>
      <c r="O12" s="15" t="n">
        <v>61468</v>
      </c>
      <c r="P12" s="15" t="n">
        <v>64541</v>
      </c>
    </row>
    <row r="13" customFormat="false" ht="15" hidden="false" customHeight="true" outlineLevel="0" collapsed="false">
      <c r="A13" s="8" t="s">
        <v>18</v>
      </c>
      <c r="B13" s="8" t="s">
        <v>44</v>
      </c>
      <c r="C13" s="8" t="s">
        <v>45</v>
      </c>
      <c r="D13" s="9" t="s">
        <v>46</v>
      </c>
      <c r="E13" s="10" t="s">
        <v>47</v>
      </c>
      <c r="F13" s="11" t="n">
        <v>38000</v>
      </c>
      <c r="G13" s="11" t="n">
        <v>3000</v>
      </c>
      <c r="H13" s="11" t="n">
        <v>2400</v>
      </c>
      <c r="I13" s="11" t="n">
        <v>0</v>
      </c>
      <c r="J13" s="11" t="n">
        <v>43400</v>
      </c>
      <c r="K13" s="11" t="n">
        <v>4557</v>
      </c>
      <c r="L13" s="11" t="n">
        <v>2370</v>
      </c>
      <c r="M13" s="11" t="n">
        <v>2604</v>
      </c>
      <c r="N13" s="11" t="n">
        <v>52931</v>
      </c>
      <c r="O13" s="11" t="n">
        <v>52931</v>
      </c>
      <c r="P13" s="11" t="n">
        <v>55578</v>
      </c>
    </row>
    <row r="14" customFormat="false" ht="15" hidden="false" customHeight="true" outlineLevel="0" collapsed="false">
      <c r="A14" s="4" t="s">
        <v>48</v>
      </c>
      <c r="B14" s="4" t="s">
        <v>49</v>
      </c>
      <c r="C14" s="4" t="s">
        <v>50</v>
      </c>
      <c r="D14" s="5" t="s">
        <v>51</v>
      </c>
      <c r="E14" s="6" t="s">
        <v>52</v>
      </c>
      <c r="F14" s="7" t="n">
        <v>180000</v>
      </c>
      <c r="G14" s="7" t="n">
        <v>3000</v>
      </c>
      <c r="H14" s="7" t="n">
        <v>3000</v>
      </c>
      <c r="I14" s="7" t="n">
        <v>8000</v>
      </c>
      <c r="J14" s="7" t="n">
        <v>194000</v>
      </c>
      <c r="K14" s="7" t="n">
        <v>20370</v>
      </c>
      <c r="L14" s="7" t="n">
        <v>10592</v>
      </c>
      <c r="M14" s="7" t="n">
        <v>11640</v>
      </c>
      <c r="N14" s="7" t="n">
        <v>236602</v>
      </c>
      <c r="O14" s="7" t="n">
        <v>236602</v>
      </c>
      <c r="P14" s="7" t="n">
        <v>248432</v>
      </c>
    </row>
    <row r="15" customFormat="false" ht="15" hidden="false" customHeight="true" outlineLevel="0" collapsed="false">
      <c r="A15" s="4" t="s">
        <v>48</v>
      </c>
      <c r="B15" s="4" t="s">
        <v>53</v>
      </c>
      <c r="C15" s="4" t="s">
        <v>50</v>
      </c>
      <c r="D15" s="5" t="s">
        <v>51</v>
      </c>
      <c r="E15" s="6" t="s">
        <v>54</v>
      </c>
      <c r="F15" s="7" t="n">
        <v>175000</v>
      </c>
      <c r="G15" s="7" t="n">
        <v>3000</v>
      </c>
      <c r="H15" s="7" t="n">
        <v>3000</v>
      </c>
      <c r="I15" s="7" t="n">
        <v>8000</v>
      </c>
      <c r="J15" s="7" t="n">
        <v>189000</v>
      </c>
      <c r="K15" s="7" t="n">
        <v>19845</v>
      </c>
      <c r="L15" s="7" t="n">
        <v>10319</v>
      </c>
      <c r="M15" s="7" t="n">
        <v>11340</v>
      </c>
      <c r="N15" s="7" t="n">
        <v>230504</v>
      </c>
      <c r="O15" s="7" t="n">
        <v>230504</v>
      </c>
      <c r="P15" s="7" t="n">
        <v>242029</v>
      </c>
    </row>
    <row r="16" customFormat="false" ht="15" hidden="false" customHeight="true" outlineLevel="0" collapsed="false">
      <c r="A16" s="12" t="s">
        <v>48</v>
      </c>
      <c r="B16" s="12" t="s">
        <v>55</v>
      </c>
      <c r="C16" s="12" t="s">
        <v>50</v>
      </c>
      <c r="D16" s="13" t="s">
        <v>56</v>
      </c>
      <c r="E16" s="14" t="s">
        <v>57</v>
      </c>
      <c r="F16" s="15" t="n">
        <v>155000</v>
      </c>
      <c r="G16" s="15" t="n">
        <v>3000</v>
      </c>
      <c r="H16" s="15" t="n">
        <v>3000</v>
      </c>
      <c r="I16" s="15" t="n">
        <v>8000</v>
      </c>
      <c r="J16" s="15" t="n">
        <v>169000</v>
      </c>
      <c r="K16" s="15" t="n">
        <v>17745</v>
      </c>
      <c r="L16" s="15" t="n">
        <v>9227</v>
      </c>
      <c r="M16" s="15" t="n">
        <v>10140</v>
      </c>
      <c r="N16" s="15" t="n">
        <v>206112</v>
      </c>
      <c r="O16" s="15" t="n">
        <v>206112</v>
      </c>
      <c r="P16" s="15" t="n">
        <v>216418</v>
      </c>
    </row>
    <row r="17" customFormat="false" ht="15" hidden="false" customHeight="true" outlineLevel="0" collapsed="false">
      <c r="A17" s="8" t="s">
        <v>48</v>
      </c>
      <c r="B17" s="8" t="s">
        <v>58</v>
      </c>
      <c r="C17" s="8" t="s">
        <v>59</v>
      </c>
      <c r="D17" s="9" t="s">
        <v>60</v>
      </c>
      <c r="E17" s="10" t="s">
        <v>61</v>
      </c>
      <c r="F17" s="11" t="n">
        <v>105000</v>
      </c>
      <c r="G17" s="11" t="n">
        <v>3000</v>
      </c>
      <c r="H17" s="11" t="n">
        <v>3000</v>
      </c>
      <c r="I17" s="11" t="n">
        <v>0</v>
      </c>
      <c r="J17" s="11" t="n">
        <v>111000</v>
      </c>
      <c r="K17" s="11" t="n">
        <v>11655</v>
      </c>
      <c r="L17" s="11" t="n">
        <v>6061</v>
      </c>
      <c r="M17" s="11" t="n">
        <v>6660</v>
      </c>
      <c r="N17" s="11" t="n">
        <v>135376</v>
      </c>
      <c r="O17" s="11" t="n">
        <v>135376</v>
      </c>
      <c r="P17" s="11" t="n">
        <v>142145</v>
      </c>
    </row>
    <row r="18" customFormat="false" ht="15" hidden="false" customHeight="true" outlineLevel="0" collapsed="false">
      <c r="A18" s="12" t="s">
        <v>48</v>
      </c>
      <c r="B18" s="12" t="s">
        <v>62</v>
      </c>
      <c r="C18" s="12" t="s">
        <v>59</v>
      </c>
      <c r="D18" s="13" t="s">
        <v>60</v>
      </c>
      <c r="E18" s="14" t="s">
        <v>63</v>
      </c>
      <c r="F18" s="15" t="n">
        <v>100000</v>
      </c>
      <c r="G18" s="15" t="n">
        <v>3000</v>
      </c>
      <c r="H18" s="15" t="n">
        <v>3000</v>
      </c>
      <c r="I18" s="15" t="n">
        <v>0</v>
      </c>
      <c r="J18" s="15" t="n">
        <v>106000</v>
      </c>
      <c r="K18" s="15" t="n">
        <v>11130</v>
      </c>
      <c r="L18" s="15" t="n">
        <v>5788</v>
      </c>
      <c r="M18" s="15" t="n">
        <v>6360</v>
      </c>
      <c r="N18" s="15" t="n">
        <v>129278</v>
      </c>
      <c r="O18" s="15" t="n">
        <v>129278</v>
      </c>
      <c r="P18" s="15" t="n">
        <v>135742</v>
      </c>
    </row>
    <row r="19" customFormat="false" ht="15" hidden="false" customHeight="true" outlineLevel="0" collapsed="false">
      <c r="A19" s="8" t="s">
        <v>48</v>
      </c>
      <c r="B19" s="8" t="s">
        <v>64</v>
      </c>
      <c r="C19" s="8" t="s">
        <v>59</v>
      </c>
      <c r="D19" s="9" t="s">
        <v>65</v>
      </c>
      <c r="E19" s="10" t="s">
        <v>66</v>
      </c>
      <c r="F19" s="11" t="n">
        <v>85000</v>
      </c>
      <c r="G19" s="11" t="n">
        <v>3000</v>
      </c>
      <c r="H19" s="11" t="n">
        <v>3000</v>
      </c>
      <c r="I19" s="11" t="n">
        <v>0</v>
      </c>
      <c r="J19" s="11" t="n">
        <v>91000</v>
      </c>
      <c r="K19" s="11" t="n">
        <v>9555</v>
      </c>
      <c r="L19" s="11" t="n">
        <v>4969</v>
      </c>
      <c r="M19" s="11" t="n">
        <v>5460</v>
      </c>
      <c r="N19" s="11" t="n">
        <v>110984</v>
      </c>
      <c r="O19" s="11" t="n">
        <v>110984</v>
      </c>
      <c r="P19" s="11" t="n">
        <v>116533</v>
      </c>
    </row>
    <row r="20" customFormat="false" ht="15" hidden="false" customHeight="true" outlineLevel="0" collapsed="false">
      <c r="A20" s="12" t="s">
        <v>48</v>
      </c>
      <c r="B20" s="12" t="s">
        <v>67</v>
      </c>
      <c r="C20" s="12" t="s">
        <v>68</v>
      </c>
      <c r="D20" s="13" t="s">
        <v>69</v>
      </c>
      <c r="E20" s="14" t="s">
        <v>47</v>
      </c>
      <c r="F20" s="15" t="n">
        <v>45000</v>
      </c>
      <c r="G20" s="15" t="n">
        <v>3000</v>
      </c>
      <c r="H20" s="15" t="n">
        <v>3000</v>
      </c>
      <c r="I20" s="15" t="n">
        <v>0</v>
      </c>
      <c r="J20" s="15" t="n">
        <v>51000</v>
      </c>
      <c r="K20" s="15" t="n">
        <v>5355</v>
      </c>
      <c r="L20" s="15" t="n">
        <v>2785</v>
      </c>
      <c r="M20" s="15" t="n">
        <v>3060</v>
      </c>
      <c r="N20" s="15" t="n">
        <v>62200</v>
      </c>
      <c r="O20" s="15" t="n">
        <v>62200</v>
      </c>
      <c r="P20" s="15" t="n">
        <v>65310</v>
      </c>
    </row>
    <row r="21" customFormat="false" ht="15" hidden="false" customHeight="true" outlineLevel="0" collapsed="false">
      <c r="A21" s="4" t="s">
        <v>70</v>
      </c>
      <c r="B21" s="4" t="s">
        <v>71</v>
      </c>
      <c r="C21" s="4" t="s">
        <v>72</v>
      </c>
      <c r="D21" s="5" t="s">
        <v>73</v>
      </c>
      <c r="E21" s="6" t="s">
        <v>74</v>
      </c>
      <c r="F21" s="7" t="n">
        <v>82000</v>
      </c>
      <c r="G21" s="7" t="n">
        <v>3000</v>
      </c>
      <c r="H21" s="7" t="n">
        <v>2400</v>
      </c>
      <c r="I21" s="7" t="n">
        <v>8000</v>
      </c>
      <c r="J21" s="7" t="n">
        <v>95400</v>
      </c>
      <c r="K21" s="7" t="n">
        <v>10017</v>
      </c>
      <c r="L21" s="7" t="n">
        <v>5209</v>
      </c>
      <c r="M21" s="7" t="n">
        <v>5724</v>
      </c>
      <c r="N21" s="7" t="n">
        <v>116350</v>
      </c>
      <c r="O21" s="7" t="n">
        <v>116350</v>
      </c>
      <c r="P21" s="7" t="n">
        <v>122168</v>
      </c>
    </row>
    <row r="22" customFormat="false" ht="15" hidden="false" customHeight="true" outlineLevel="0" collapsed="false">
      <c r="A22" s="12" t="s">
        <v>70</v>
      </c>
      <c r="B22" s="12" t="s">
        <v>75</v>
      </c>
      <c r="C22" s="12" t="s">
        <v>76</v>
      </c>
      <c r="D22" s="13" t="s">
        <v>77</v>
      </c>
      <c r="E22" s="14" t="s">
        <v>78</v>
      </c>
      <c r="F22" s="15" t="n">
        <v>65000</v>
      </c>
      <c r="G22" s="15" t="n">
        <v>3000</v>
      </c>
      <c r="H22" s="15" t="n">
        <v>2400</v>
      </c>
      <c r="I22" s="15" t="n">
        <v>8000</v>
      </c>
      <c r="J22" s="15" t="n">
        <v>78400</v>
      </c>
      <c r="K22" s="15" t="n">
        <v>8232</v>
      </c>
      <c r="L22" s="15" t="n">
        <v>4281</v>
      </c>
      <c r="M22" s="15" t="n">
        <v>4704</v>
      </c>
      <c r="N22" s="15" t="n">
        <v>95617</v>
      </c>
      <c r="O22" s="15" t="n">
        <v>95617</v>
      </c>
      <c r="P22" s="15" t="n">
        <v>100398</v>
      </c>
    </row>
    <row r="23" customFormat="false" ht="15" hidden="false" customHeight="true" outlineLevel="0" collapsed="false">
      <c r="A23" s="8" t="s">
        <v>70</v>
      </c>
      <c r="B23" s="8" t="s">
        <v>79</v>
      </c>
      <c r="C23" s="8" t="s">
        <v>80</v>
      </c>
      <c r="D23" s="9" t="s">
        <v>81</v>
      </c>
      <c r="E23" s="10" t="s">
        <v>82</v>
      </c>
      <c r="F23" s="11" t="n">
        <v>52000</v>
      </c>
      <c r="G23" s="11" t="n">
        <v>3000</v>
      </c>
      <c r="H23" s="11" t="n">
        <v>2400</v>
      </c>
      <c r="I23" s="11" t="n">
        <v>0</v>
      </c>
      <c r="J23" s="11" t="n">
        <v>57400</v>
      </c>
      <c r="K23" s="11" t="n">
        <v>6027</v>
      </c>
      <c r="L23" s="11" t="n">
        <v>3134</v>
      </c>
      <c r="M23" s="11" t="n">
        <v>3444</v>
      </c>
      <c r="N23" s="11" t="n">
        <v>70005</v>
      </c>
      <c r="O23" s="11" t="n">
        <v>70005</v>
      </c>
      <c r="P23" s="11" t="n">
        <v>73505</v>
      </c>
    </row>
    <row r="24" customFormat="false" ht="15" hidden="false" customHeight="true" outlineLevel="0" collapsed="false">
      <c r="A24" s="12" t="s">
        <v>70</v>
      </c>
      <c r="B24" s="12" t="s">
        <v>83</v>
      </c>
      <c r="C24" s="12" t="s">
        <v>84</v>
      </c>
      <c r="D24" s="13" t="s">
        <v>85</v>
      </c>
      <c r="E24" s="14" t="s">
        <v>86</v>
      </c>
      <c r="F24" s="15" t="n">
        <v>42000</v>
      </c>
      <c r="G24" s="15" t="n">
        <v>3000</v>
      </c>
      <c r="H24" s="15" t="n">
        <v>2400</v>
      </c>
      <c r="I24" s="15" t="n">
        <v>0</v>
      </c>
      <c r="J24" s="15" t="n">
        <v>47400</v>
      </c>
      <c r="K24" s="15" t="n">
        <v>4977</v>
      </c>
      <c r="L24" s="15" t="n">
        <v>2588</v>
      </c>
      <c r="M24" s="15" t="n">
        <v>2844</v>
      </c>
      <c r="N24" s="15" t="n">
        <v>57809</v>
      </c>
      <c r="O24" s="15" t="n">
        <v>57809</v>
      </c>
      <c r="P24" s="15" t="n">
        <v>60699</v>
      </c>
    </row>
    <row r="25" customFormat="false" ht="15" hidden="false" customHeight="true" outlineLevel="0" collapsed="false">
      <c r="A25" s="8" t="s">
        <v>70</v>
      </c>
      <c r="B25" s="8" t="s">
        <v>87</v>
      </c>
      <c r="C25" s="8" t="s">
        <v>88</v>
      </c>
      <c r="D25" s="9" t="s">
        <v>89</v>
      </c>
      <c r="E25" s="10" t="s">
        <v>90</v>
      </c>
      <c r="F25" s="11" t="n">
        <v>35000</v>
      </c>
      <c r="G25" s="11" t="n">
        <v>3000</v>
      </c>
      <c r="H25" s="11" t="n">
        <v>2400</v>
      </c>
      <c r="I25" s="11" t="n">
        <v>0</v>
      </c>
      <c r="J25" s="11" t="n">
        <v>40400</v>
      </c>
      <c r="K25" s="11" t="n">
        <v>4242</v>
      </c>
      <c r="L25" s="11" t="n">
        <v>2206</v>
      </c>
      <c r="M25" s="11" t="n">
        <v>2424</v>
      </c>
      <c r="N25" s="11" t="n">
        <v>49272</v>
      </c>
      <c r="O25" s="11" t="n">
        <v>49272</v>
      </c>
      <c r="P25" s="11" t="n">
        <v>51736</v>
      </c>
    </row>
    <row r="26" customFormat="false" ht="15" hidden="false" customHeight="true" outlineLevel="0" collapsed="false">
      <c r="A26" s="12" t="s">
        <v>70</v>
      </c>
      <c r="B26" s="12" t="s">
        <v>91</v>
      </c>
      <c r="C26" s="12" t="s">
        <v>88</v>
      </c>
      <c r="D26" s="13" t="s">
        <v>89</v>
      </c>
      <c r="E26" s="14" t="s">
        <v>92</v>
      </c>
      <c r="F26" s="15" t="n">
        <v>35000</v>
      </c>
      <c r="G26" s="15" t="n">
        <v>3000</v>
      </c>
      <c r="H26" s="15" t="n">
        <v>2400</v>
      </c>
      <c r="I26" s="15" t="n">
        <v>0</v>
      </c>
      <c r="J26" s="15" t="n">
        <v>40400</v>
      </c>
      <c r="K26" s="15" t="n">
        <v>4242</v>
      </c>
      <c r="L26" s="15" t="n">
        <v>2206</v>
      </c>
      <c r="M26" s="15" t="n">
        <v>2424</v>
      </c>
      <c r="N26" s="15" t="n">
        <v>49272</v>
      </c>
      <c r="O26" s="15" t="n">
        <v>49272</v>
      </c>
      <c r="P26" s="15" t="n">
        <v>51736</v>
      </c>
    </row>
    <row r="27" customFormat="false" ht="15" hidden="false" customHeight="true" outlineLevel="0" collapsed="false">
      <c r="A27" s="4" t="s">
        <v>93</v>
      </c>
      <c r="B27" s="4" t="s">
        <v>94</v>
      </c>
      <c r="C27" s="4" t="s">
        <v>95</v>
      </c>
      <c r="D27" s="5" t="s">
        <v>96</v>
      </c>
      <c r="E27" s="6" t="s">
        <v>97</v>
      </c>
      <c r="F27" s="7" t="n">
        <v>95000</v>
      </c>
      <c r="G27" s="7" t="n">
        <v>3000</v>
      </c>
      <c r="H27" s="7" t="n">
        <v>2400</v>
      </c>
      <c r="I27" s="7" t="n">
        <v>8000</v>
      </c>
      <c r="J27" s="7" t="n">
        <v>108400</v>
      </c>
      <c r="K27" s="7" t="n">
        <v>11382</v>
      </c>
      <c r="L27" s="7" t="n">
        <v>5919</v>
      </c>
      <c r="M27" s="7" t="n">
        <v>6504</v>
      </c>
      <c r="N27" s="7" t="n">
        <v>132205</v>
      </c>
      <c r="O27" s="7" t="n">
        <v>132205</v>
      </c>
      <c r="P27" s="7" t="n">
        <v>138815</v>
      </c>
    </row>
    <row r="28" customFormat="false" ht="15" hidden="false" customHeight="true" outlineLevel="0" collapsed="false">
      <c r="A28" s="12" t="s">
        <v>93</v>
      </c>
      <c r="B28" s="12" t="s">
        <v>98</v>
      </c>
      <c r="C28" s="12" t="s">
        <v>99</v>
      </c>
      <c r="D28" s="13" t="s">
        <v>100</v>
      </c>
      <c r="E28" s="14" t="s">
        <v>101</v>
      </c>
      <c r="F28" s="15" t="n">
        <v>72000</v>
      </c>
      <c r="G28" s="15" t="n">
        <v>3000</v>
      </c>
      <c r="H28" s="15" t="n">
        <v>2400</v>
      </c>
      <c r="I28" s="15" t="n">
        <v>8000</v>
      </c>
      <c r="J28" s="15" t="n">
        <v>85400</v>
      </c>
      <c r="K28" s="15" t="n">
        <v>8967</v>
      </c>
      <c r="L28" s="15" t="n">
        <v>4663</v>
      </c>
      <c r="M28" s="15" t="n">
        <v>5124</v>
      </c>
      <c r="N28" s="15" t="n">
        <v>104154</v>
      </c>
      <c r="O28" s="15" t="n">
        <v>104154</v>
      </c>
      <c r="P28" s="15" t="n">
        <v>109362</v>
      </c>
    </row>
    <row r="29" customFormat="false" ht="15" hidden="false" customHeight="true" outlineLevel="0" collapsed="false">
      <c r="A29" s="8" t="s">
        <v>93</v>
      </c>
      <c r="B29" s="8" t="s">
        <v>102</v>
      </c>
      <c r="C29" s="8" t="s">
        <v>103</v>
      </c>
      <c r="D29" s="9" t="s">
        <v>104</v>
      </c>
      <c r="E29" s="10" t="s">
        <v>105</v>
      </c>
      <c r="F29" s="11" t="n">
        <v>58000</v>
      </c>
      <c r="G29" s="11" t="n">
        <v>3000</v>
      </c>
      <c r="H29" s="11" t="n">
        <v>2400</v>
      </c>
      <c r="I29" s="11" t="n">
        <v>0</v>
      </c>
      <c r="J29" s="11" t="n">
        <v>63400</v>
      </c>
      <c r="K29" s="11" t="n">
        <v>6657</v>
      </c>
      <c r="L29" s="11" t="n">
        <v>3462</v>
      </c>
      <c r="M29" s="11" t="n">
        <v>3804</v>
      </c>
      <c r="N29" s="11" t="n">
        <v>77323</v>
      </c>
      <c r="O29" s="11" t="n">
        <v>77323</v>
      </c>
      <c r="P29" s="11" t="n">
        <v>81189</v>
      </c>
    </row>
    <row r="30" customFormat="false" ht="15" hidden="false" customHeight="true" outlineLevel="0" collapsed="false">
      <c r="A30" s="12" t="s">
        <v>93</v>
      </c>
      <c r="B30" s="12" t="s">
        <v>106</v>
      </c>
      <c r="C30" s="12" t="s">
        <v>103</v>
      </c>
      <c r="D30" s="13" t="s">
        <v>104</v>
      </c>
      <c r="E30" s="14" t="s">
        <v>107</v>
      </c>
      <c r="F30" s="15" t="n">
        <v>55000</v>
      </c>
      <c r="G30" s="15" t="n">
        <v>3000</v>
      </c>
      <c r="H30" s="15" t="n">
        <v>2400</v>
      </c>
      <c r="I30" s="15" t="n">
        <v>0</v>
      </c>
      <c r="J30" s="15" t="n">
        <v>60400</v>
      </c>
      <c r="K30" s="15" t="n">
        <v>6342</v>
      </c>
      <c r="L30" s="15" t="n">
        <v>3298</v>
      </c>
      <c r="M30" s="15" t="n">
        <v>3624</v>
      </c>
      <c r="N30" s="15" t="n">
        <v>73664</v>
      </c>
      <c r="O30" s="15" t="n">
        <v>73664</v>
      </c>
      <c r="P30" s="15" t="n">
        <v>77347</v>
      </c>
    </row>
    <row r="31" customFormat="false" ht="15" hidden="false" customHeight="true" outlineLevel="0" collapsed="false">
      <c r="A31" s="8" t="s">
        <v>93</v>
      </c>
      <c r="B31" s="8" t="s">
        <v>108</v>
      </c>
      <c r="C31" s="8" t="s">
        <v>103</v>
      </c>
      <c r="D31" s="9" t="s">
        <v>109</v>
      </c>
      <c r="E31" s="10" t="s">
        <v>110</v>
      </c>
      <c r="F31" s="11" t="n">
        <v>50000</v>
      </c>
      <c r="G31" s="11" t="n">
        <v>3000</v>
      </c>
      <c r="H31" s="11" t="n">
        <v>2400</v>
      </c>
      <c r="I31" s="11" t="n">
        <v>0</v>
      </c>
      <c r="J31" s="11" t="n">
        <v>55400</v>
      </c>
      <c r="K31" s="11" t="n">
        <v>5817</v>
      </c>
      <c r="L31" s="11" t="n">
        <v>3025</v>
      </c>
      <c r="M31" s="11" t="n">
        <v>3324</v>
      </c>
      <c r="N31" s="11" t="n">
        <v>67566</v>
      </c>
      <c r="O31" s="11" t="n">
        <v>67566</v>
      </c>
      <c r="P31" s="11" t="n">
        <v>70944</v>
      </c>
    </row>
    <row r="32" customFormat="false" ht="15" hidden="false" customHeight="true" outlineLevel="0" collapsed="false">
      <c r="A32" s="12" t="s">
        <v>93</v>
      </c>
      <c r="B32" s="12" t="s">
        <v>111</v>
      </c>
      <c r="C32" s="12" t="s">
        <v>112</v>
      </c>
      <c r="D32" s="13" t="s">
        <v>113</v>
      </c>
      <c r="E32" s="14" t="s">
        <v>114</v>
      </c>
      <c r="F32" s="15" t="n">
        <v>38000</v>
      </c>
      <c r="G32" s="15" t="n">
        <v>3000</v>
      </c>
      <c r="H32" s="15" t="n">
        <v>2400</v>
      </c>
      <c r="I32" s="15" t="n">
        <v>0</v>
      </c>
      <c r="J32" s="15" t="n">
        <v>43400</v>
      </c>
      <c r="K32" s="15" t="n">
        <v>4557</v>
      </c>
      <c r="L32" s="15" t="n">
        <v>2370</v>
      </c>
      <c r="M32" s="15" t="n">
        <v>2604</v>
      </c>
      <c r="N32" s="15" t="n">
        <v>52931</v>
      </c>
      <c r="O32" s="15" t="n">
        <v>52931</v>
      </c>
      <c r="P32" s="15" t="n">
        <v>55578</v>
      </c>
    </row>
    <row r="33" customFormat="false" ht="15" hidden="false" customHeight="true" outlineLevel="0" collapsed="false">
      <c r="A33" s="4" t="s">
        <v>115</v>
      </c>
      <c r="B33" s="4" t="s">
        <v>116</v>
      </c>
      <c r="C33" s="4" t="s">
        <v>117</v>
      </c>
      <c r="D33" s="5" t="s">
        <v>118</v>
      </c>
      <c r="E33" s="6" t="s">
        <v>119</v>
      </c>
      <c r="F33" s="7" t="n">
        <v>110000</v>
      </c>
      <c r="G33" s="7" t="n">
        <v>3000</v>
      </c>
      <c r="H33" s="7" t="n">
        <v>2400</v>
      </c>
      <c r="I33" s="7" t="n">
        <v>8000</v>
      </c>
      <c r="J33" s="7" t="n">
        <v>123400</v>
      </c>
      <c r="K33" s="7" t="n">
        <v>12957</v>
      </c>
      <c r="L33" s="7" t="n">
        <v>6738</v>
      </c>
      <c r="M33" s="7" t="n">
        <v>7404</v>
      </c>
      <c r="N33" s="7" t="n">
        <v>150499</v>
      </c>
      <c r="O33" s="7" t="n">
        <v>150499</v>
      </c>
      <c r="P33" s="7" t="n">
        <v>158024</v>
      </c>
    </row>
    <row r="34" customFormat="false" ht="15" hidden="false" customHeight="true" outlineLevel="0" collapsed="false">
      <c r="A34" s="12" t="s">
        <v>115</v>
      </c>
      <c r="B34" s="12" t="s">
        <v>120</v>
      </c>
      <c r="C34" s="12" t="s">
        <v>121</v>
      </c>
      <c r="D34" s="13" t="s">
        <v>122</v>
      </c>
      <c r="E34" s="14" t="s">
        <v>123</v>
      </c>
      <c r="F34" s="15" t="n">
        <v>80000</v>
      </c>
      <c r="G34" s="15" t="n">
        <v>3000</v>
      </c>
      <c r="H34" s="15" t="n">
        <v>2400</v>
      </c>
      <c r="I34" s="15" t="n">
        <v>8000</v>
      </c>
      <c r="J34" s="15" t="n">
        <v>93400</v>
      </c>
      <c r="K34" s="15" t="n">
        <v>9807</v>
      </c>
      <c r="L34" s="15" t="n">
        <v>5100</v>
      </c>
      <c r="M34" s="15" t="n">
        <v>5604</v>
      </c>
      <c r="N34" s="15" t="n">
        <v>113911</v>
      </c>
      <c r="O34" s="15" t="n">
        <v>113911</v>
      </c>
      <c r="P34" s="15" t="n">
        <v>119607</v>
      </c>
    </row>
    <row r="35" customFormat="false" ht="15" hidden="false" customHeight="true" outlineLevel="0" collapsed="false">
      <c r="A35" s="8" t="s">
        <v>115</v>
      </c>
      <c r="B35" s="8" t="s">
        <v>124</v>
      </c>
      <c r="C35" s="8" t="s">
        <v>125</v>
      </c>
      <c r="D35" s="9" t="s">
        <v>126</v>
      </c>
      <c r="E35" s="10" t="s">
        <v>127</v>
      </c>
      <c r="F35" s="11" t="n">
        <v>62000</v>
      </c>
      <c r="G35" s="11" t="n">
        <v>3000</v>
      </c>
      <c r="H35" s="11" t="n">
        <v>2400</v>
      </c>
      <c r="I35" s="11" t="n">
        <v>0</v>
      </c>
      <c r="J35" s="11" t="n">
        <v>67400</v>
      </c>
      <c r="K35" s="11" t="n">
        <v>7077</v>
      </c>
      <c r="L35" s="11" t="n">
        <v>3680</v>
      </c>
      <c r="M35" s="11" t="n">
        <v>4044</v>
      </c>
      <c r="N35" s="11" t="n">
        <v>82201</v>
      </c>
      <c r="O35" s="11" t="n">
        <v>82201</v>
      </c>
      <c r="P35" s="11" t="n">
        <v>86311</v>
      </c>
    </row>
    <row r="36" customFormat="false" ht="15" hidden="false" customHeight="true" outlineLevel="0" collapsed="false">
      <c r="A36" s="12" t="s">
        <v>115</v>
      </c>
      <c r="B36" s="12" t="s">
        <v>128</v>
      </c>
      <c r="C36" s="12" t="s">
        <v>125</v>
      </c>
      <c r="D36" s="13" t="s">
        <v>126</v>
      </c>
      <c r="E36" s="14" t="s">
        <v>129</v>
      </c>
      <c r="F36" s="15" t="n">
        <v>60000</v>
      </c>
      <c r="G36" s="15" t="n">
        <v>3000</v>
      </c>
      <c r="H36" s="15" t="n">
        <v>2400</v>
      </c>
      <c r="I36" s="15" t="n">
        <v>0</v>
      </c>
      <c r="J36" s="15" t="n">
        <v>65400</v>
      </c>
      <c r="K36" s="15" t="n">
        <v>6867</v>
      </c>
      <c r="L36" s="15" t="n">
        <v>3571</v>
      </c>
      <c r="M36" s="15" t="n">
        <v>3924</v>
      </c>
      <c r="N36" s="15" t="n">
        <v>79762</v>
      </c>
      <c r="O36" s="15" t="n">
        <v>79762</v>
      </c>
      <c r="P36" s="15" t="n">
        <v>83750</v>
      </c>
    </row>
    <row r="37" customFormat="false" ht="15" hidden="false" customHeight="true" outlineLevel="0" collapsed="false">
      <c r="A37" s="8" t="s">
        <v>115</v>
      </c>
      <c r="B37" s="8" t="s">
        <v>130</v>
      </c>
      <c r="C37" s="8" t="s">
        <v>125</v>
      </c>
      <c r="D37" s="9" t="s">
        <v>131</v>
      </c>
      <c r="E37" s="10" t="s">
        <v>66</v>
      </c>
      <c r="F37" s="11" t="n">
        <v>52000</v>
      </c>
      <c r="G37" s="11" t="n">
        <v>3000</v>
      </c>
      <c r="H37" s="11" t="n">
        <v>2400</v>
      </c>
      <c r="I37" s="11" t="n">
        <v>0</v>
      </c>
      <c r="J37" s="11" t="n">
        <v>57400</v>
      </c>
      <c r="K37" s="11" t="n">
        <v>6027</v>
      </c>
      <c r="L37" s="11" t="n">
        <v>3134</v>
      </c>
      <c r="M37" s="11" t="n">
        <v>3444</v>
      </c>
      <c r="N37" s="11" t="n">
        <v>70005</v>
      </c>
      <c r="O37" s="11" t="n">
        <v>70005</v>
      </c>
      <c r="P37" s="11" t="n">
        <v>73505</v>
      </c>
    </row>
    <row r="38" customFormat="false" ht="15" hidden="false" customHeight="true" outlineLevel="0" collapsed="false">
      <c r="A38" s="4" t="s">
        <v>132</v>
      </c>
      <c r="B38" s="4" t="s">
        <v>133</v>
      </c>
      <c r="C38" s="4" t="s">
        <v>134</v>
      </c>
      <c r="D38" s="5" t="s">
        <v>135</v>
      </c>
      <c r="E38" s="6" t="s">
        <v>136</v>
      </c>
      <c r="F38" s="7" t="n">
        <v>108000</v>
      </c>
      <c r="G38" s="7" t="n">
        <v>3000</v>
      </c>
      <c r="H38" s="7" t="n">
        <v>2400</v>
      </c>
      <c r="I38" s="7" t="n">
        <v>8000</v>
      </c>
      <c r="J38" s="7" t="n">
        <v>121400</v>
      </c>
      <c r="K38" s="7" t="n">
        <v>12747</v>
      </c>
      <c r="L38" s="7" t="n">
        <v>6628</v>
      </c>
      <c r="M38" s="7" t="n">
        <v>7284</v>
      </c>
      <c r="N38" s="7" t="n">
        <v>148059</v>
      </c>
      <c r="O38" s="7" t="n">
        <v>148059</v>
      </c>
      <c r="P38" s="7" t="n">
        <v>155462</v>
      </c>
    </row>
    <row r="39" customFormat="false" ht="15" hidden="false" customHeight="true" outlineLevel="0" collapsed="false">
      <c r="A39" s="8" t="s">
        <v>132</v>
      </c>
      <c r="B39" s="8" t="s">
        <v>137</v>
      </c>
      <c r="C39" s="8" t="s">
        <v>138</v>
      </c>
      <c r="D39" s="9" t="s">
        <v>139</v>
      </c>
      <c r="E39" s="10" t="s">
        <v>140</v>
      </c>
      <c r="F39" s="11" t="n">
        <v>78000</v>
      </c>
      <c r="G39" s="11" t="n">
        <v>3000</v>
      </c>
      <c r="H39" s="11" t="n">
        <v>2400</v>
      </c>
      <c r="I39" s="11" t="n">
        <v>8000</v>
      </c>
      <c r="J39" s="11" t="n">
        <v>91400</v>
      </c>
      <c r="K39" s="11" t="n">
        <v>9597</v>
      </c>
      <c r="L39" s="11" t="n">
        <v>4990</v>
      </c>
      <c r="M39" s="11" t="n">
        <v>5484</v>
      </c>
      <c r="N39" s="11" t="n">
        <v>111471</v>
      </c>
      <c r="O39" s="11" t="n">
        <v>111471</v>
      </c>
      <c r="P39" s="11" t="n">
        <v>117045</v>
      </c>
    </row>
    <row r="40" customFormat="false" ht="15" hidden="false" customHeight="true" outlineLevel="0" collapsed="false">
      <c r="A40" s="12" t="s">
        <v>132</v>
      </c>
      <c r="B40" s="12" t="s">
        <v>141</v>
      </c>
      <c r="C40" s="12" t="s">
        <v>142</v>
      </c>
      <c r="D40" s="13" t="s">
        <v>143</v>
      </c>
      <c r="E40" s="14" t="s">
        <v>144</v>
      </c>
      <c r="F40" s="15" t="n">
        <v>62000</v>
      </c>
      <c r="G40" s="15" t="n">
        <v>3000</v>
      </c>
      <c r="H40" s="15" t="n">
        <v>2400</v>
      </c>
      <c r="I40" s="15" t="n">
        <v>0</v>
      </c>
      <c r="J40" s="15" t="n">
        <v>67400</v>
      </c>
      <c r="K40" s="15" t="n">
        <v>7077</v>
      </c>
      <c r="L40" s="15" t="n">
        <v>3680</v>
      </c>
      <c r="M40" s="15" t="n">
        <v>4044</v>
      </c>
      <c r="N40" s="15" t="n">
        <v>82201</v>
      </c>
      <c r="O40" s="15" t="n">
        <v>82201</v>
      </c>
      <c r="P40" s="15" t="n">
        <v>86311</v>
      </c>
    </row>
    <row r="41" customFormat="false" ht="15" hidden="false" customHeight="true" outlineLevel="0" collapsed="false">
      <c r="A41" s="8" t="s">
        <v>132</v>
      </c>
      <c r="B41" s="8" t="s">
        <v>145</v>
      </c>
      <c r="C41" s="8" t="s">
        <v>142</v>
      </c>
      <c r="D41" s="9" t="s">
        <v>143</v>
      </c>
      <c r="E41" s="10" t="s">
        <v>146</v>
      </c>
      <c r="F41" s="11" t="n">
        <v>60000</v>
      </c>
      <c r="G41" s="11" t="n">
        <v>3000</v>
      </c>
      <c r="H41" s="11" t="n">
        <v>2400</v>
      </c>
      <c r="I41" s="11" t="n">
        <v>0</v>
      </c>
      <c r="J41" s="11" t="n">
        <v>65400</v>
      </c>
      <c r="K41" s="11" t="n">
        <v>6867</v>
      </c>
      <c r="L41" s="11" t="n">
        <v>3571</v>
      </c>
      <c r="M41" s="11" t="n">
        <v>3924</v>
      </c>
      <c r="N41" s="11" t="n">
        <v>79762</v>
      </c>
      <c r="O41" s="11" t="n">
        <v>79762</v>
      </c>
      <c r="P41" s="11" t="n">
        <v>83750</v>
      </c>
    </row>
    <row r="42" customFormat="false" ht="15" hidden="false" customHeight="true" outlineLevel="0" collapsed="false">
      <c r="A42" s="12" t="s">
        <v>132</v>
      </c>
      <c r="B42" s="12" t="s">
        <v>147</v>
      </c>
      <c r="C42" s="12" t="s">
        <v>142</v>
      </c>
      <c r="D42" s="13" t="s">
        <v>148</v>
      </c>
      <c r="E42" s="14" t="s">
        <v>149</v>
      </c>
      <c r="F42" s="15" t="n">
        <v>52000</v>
      </c>
      <c r="G42" s="15" t="n">
        <v>3000</v>
      </c>
      <c r="H42" s="15" t="n">
        <v>2400</v>
      </c>
      <c r="I42" s="15" t="n">
        <v>0</v>
      </c>
      <c r="J42" s="15" t="n">
        <v>57400</v>
      </c>
      <c r="K42" s="15" t="n">
        <v>6027</v>
      </c>
      <c r="L42" s="15" t="n">
        <v>3134</v>
      </c>
      <c r="M42" s="15" t="n">
        <v>3444</v>
      </c>
      <c r="N42" s="15" t="n">
        <v>70005</v>
      </c>
      <c r="O42" s="15" t="n">
        <v>70005</v>
      </c>
      <c r="P42" s="15" t="n">
        <v>73505</v>
      </c>
    </row>
    <row r="43" customFormat="false" ht="15" hidden="false" customHeight="true" outlineLevel="0" collapsed="false">
      <c r="A43" s="8" t="s">
        <v>132</v>
      </c>
      <c r="B43" s="8" t="s">
        <v>150</v>
      </c>
      <c r="C43" s="8" t="s">
        <v>151</v>
      </c>
      <c r="D43" s="9" t="s">
        <v>152</v>
      </c>
      <c r="E43" s="10" t="s">
        <v>153</v>
      </c>
      <c r="F43" s="11" t="n">
        <v>36000</v>
      </c>
      <c r="G43" s="11" t="n">
        <v>3000</v>
      </c>
      <c r="H43" s="11" t="n">
        <v>2400</v>
      </c>
      <c r="I43" s="11" t="n">
        <v>0</v>
      </c>
      <c r="J43" s="11" t="n">
        <v>41400</v>
      </c>
      <c r="K43" s="11" t="n">
        <v>4347</v>
      </c>
      <c r="L43" s="11" t="n">
        <v>2260</v>
      </c>
      <c r="M43" s="11" t="n">
        <v>2484</v>
      </c>
      <c r="N43" s="11" t="n">
        <v>50491</v>
      </c>
      <c r="O43" s="11" t="n">
        <v>50491</v>
      </c>
      <c r="P43" s="11" t="n">
        <v>53016</v>
      </c>
    </row>
    <row r="44" customFormat="false" ht="15" hidden="false" customHeight="true" outlineLevel="0" collapsed="false">
      <c r="A44" s="4" t="s">
        <v>154</v>
      </c>
      <c r="B44" s="4" t="s">
        <v>155</v>
      </c>
      <c r="C44" s="4" t="s">
        <v>156</v>
      </c>
      <c r="D44" s="5" t="s">
        <v>157</v>
      </c>
      <c r="E44" s="6" t="s">
        <v>158</v>
      </c>
      <c r="F44" s="7" t="n">
        <v>105000</v>
      </c>
      <c r="G44" s="7" t="n">
        <v>3000</v>
      </c>
      <c r="H44" s="7" t="n">
        <v>2400</v>
      </c>
      <c r="I44" s="7" t="n">
        <v>8000</v>
      </c>
      <c r="J44" s="7" t="n">
        <v>118400</v>
      </c>
      <c r="K44" s="7" t="n">
        <v>12432</v>
      </c>
      <c r="L44" s="7" t="n">
        <v>6465</v>
      </c>
      <c r="M44" s="7" t="n">
        <v>7104</v>
      </c>
      <c r="N44" s="7" t="n">
        <v>144401</v>
      </c>
      <c r="O44" s="7" t="n">
        <v>144401</v>
      </c>
      <c r="P44" s="7" t="n">
        <v>151621</v>
      </c>
    </row>
    <row r="45" customFormat="false" ht="15" hidden="false" customHeight="true" outlineLevel="0" collapsed="false">
      <c r="A45" s="8" t="s">
        <v>154</v>
      </c>
      <c r="B45" s="8" t="s">
        <v>159</v>
      </c>
      <c r="C45" s="8" t="s">
        <v>160</v>
      </c>
      <c r="D45" s="9" t="s">
        <v>161</v>
      </c>
      <c r="E45" s="10" t="s">
        <v>162</v>
      </c>
      <c r="F45" s="11" t="n">
        <v>88000</v>
      </c>
      <c r="G45" s="11" t="n">
        <v>3000</v>
      </c>
      <c r="H45" s="11" t="n">
        <v>2400</v>
      </c>
      <c r="I45" s="11" t="n">
        <v>8000</v>
      </c>
      <c r="J45" s="11" t="n">
        <v>101400</v>
      </c>
      <c r="K45" s="11" t="n">
        <v>10647</v>
      </c>
      <c r="L45" s="11" t="n">
        <v>5536</v>
      </c>
      <c r="M45" s="11" t="n">
        <v>6084</v>
      </c>
      <c r="N45" s="11" t="n">
        <v>123667</v>
      </c>
      <c r="O45" s="11" t="n">
        <v>123667</v>
      </c>
      <c r="P45" s="11" t="n">
        <v>129850</v>
      </c>
    </row>
    <row r="46" customFormat="false" ht="15" hidden="false" customHeight="true" outlineLevel="0" collapsed="false">
      <c r="A46" s="12" t="s">
        <v>154</v>
      </c>
      <c r="B46" s="12" t="s">
        <v>163</v>
      </c>
      <c r="C46" s="12" t="s">
        <v>164</v>
      </c>
      <c r="D46" s="13" t="s">
        <v>165</v>
      </c>
      <c r="E46" s="14" t="s">
        <v>166</v>
      </c>
      <c r="F46" s="15" t="n">
        <v>72000</v>
      </c>
      <c r="G46" s="15" t="n">
        <v>3000</v>
      </c>
      <c r="H46" s="15" t="n">
        <v>2400</v>
      </c>
      <c r="I46" s="15" t="n">
        <v>0</v>
      </c>
      <c r="J46" s="15" t="n">
        <v>77400</v>
      </c>
      <c r="K46" s="15" t="n">
        <v>8127</v>
      </c>
      <c r="L46" s="15" t="n">
        <v>4226</v>
      </c>
      <c r="M46" s="15" t="n">
        <v>4644</v>
      </c>
      <c r="N46" s="15" t="n">
        <v>94397</v>
      </c>
      <c r="O46" s="15" t="n">
        <v>94397</v>
      </c>
      <c r="P46" s="15" t="n">
        <v>99117</v>
      </c>
    </row>
    <row r="47" customFormat="false" ht="15" hidden="false" customHeight="true" outlineLevel="0" collapsed="false">
      <c r="A47" s="8" t="s">
        <v>154</v>
      </c>
      <c r="B47" s="8" t="s">
        <v>167</v>
      </c>
      <c r="C47" s="8" t="s">
        <v>164</v>
      </c>
      <c r="D47" s="9" t="s">
        <v>165</v>
      </c>
      <c r="E47" s="10" t="s">
        <v>168</v>
      </c>
      <c r="F47" s="11" t="n">
        <v>68000</v>
      </c>
      <c r="G47" s="11" t="n">
        <v>3000</v>
      </c>
      <c r="H47" s="11" t="n">
        <v>2400</v>
      </c>
      <c r="I47" s="11" t="n">
        <v>0</v>
      </c>
      <c r="J47" s="11" t="n">
        <v>73400</v>
      </c>
      <c r="K47" s="11" t="n">
        <v>7707</v>
      </c>
      <c r="L47" s="11" t="n">
        <v>4008</v>
      </c>
      <c r="M47" s="11" t="n">
        <v>4404</v>
      </c>
      <c r="N47" s="11" t="n">
        <v>89519</v>
      </c>
      <c r="O47" s="11" t="n">
        <v>89519</v>
      </c>
      <c r="P47" s="11" t="n">
        <v>93995</v>
      </c>
    </row>
    <row r="48" customFormat="false" ht="15" hidden="false" customHeight="true" outlineLevel="0" collapsed="false">
      <c r="A48" s="12" t="s">
        <v>154</v>
      </c>
      <c r="B48" s="12" t="s">
        <v>169</v>
      </c>
      <c r="C48" s="12" t="s">
        <v>170</v>
      </c>
      <c r="D48" s="13" t="s">
        <v>171</v>
      </c>
      <c r="E48" s="14" t="s">
        <v>172</v>
      </c>
      <c r="F48" s="15" t="n">
        <v>55000</v>
      </c>
      <c r="G48" s="15" t="n">
        <v>3000</v>
      </c>
      <c r="H48" s="15" t="n">
        <v>2400</v>
      </c>
      <c r="I48" s="15" t="n">
        <v>0</v>
      </c>
      <c r="J48" s="15" t="n">
        <v>60400</v>
      </c>
      <c r="K48" s="15" t="n">
        <v>6342</v>
      </c>
      <c r="L48" s="15" t="n">
        <v>3298</v>
      </c>
      <c r="M48" s="15" t="n">
        <v>3624</v>
      </c>
      <c r="N48" s="15" t="n">
        <v>73664</v>
      </c>
      <c r="O48" s="15" t="n">
        <v>73664</v>
      </c>
      <c r="P48" s="15" t="n">
        <v>77347</v>
      </c>
    </row>
    <row r="49" customFormat="false" ht="15" hidden="false" customHeight="true" outlineLevel="0" collapsed="false">
      <c r="A49" s="4" t="s">
        <v>173</v>
      </c>
      <c r="B49" s="4" t="s">
        <v>174</v>
      </c>
      <c r="C49" s="4" t="s">
        <v>175</v>
      </c>
      <c r="D49" s="5" t="s">
        <v>176</v>
      </c>
      <c r="E49" s="6" t="s">
        <v>177</v>
      </c>
      <c r="F49" s="7" t="n">
        <v>85000</v>
      </c>
      <c r="G49" s="7" t="n">
        <v>3000</v>
      </c>
      <c r="H49" s="7" t="n">
        <v>2400</v>
      </c>
      <c r="I49" s="7" t="n">
        <v>8000</v>
      </c>
      <c r="J49" s="7" t="n">
        <v>98400</v>
      </c>
      <c r="K49" s="7" t="n">
        <v>10332</v>
      </c>
      <c r="L49" s="7" t="n">
        <v>5373</v>
      </c>
      <c r="M49" s="7" t="n">
        <v>5904</v>
      </c>
      <c r="N49" s="7" t="n">
        <v>120009</v>
      </c>
      <c r="O49" s="7" t="n">
        <v>120009</v>
      </c>
      <c r="P49" s="7" t="n">
        <v>126009</v>
      </c>
    </row>
    <row r="50" customFormat="false" ht="15" hidden="false" customHeight="true" outlineLevel="0" collapsed="false">
      <c r="A50" s="12" t="s">
        <v>173</v>
      </c>
      <c r="B50" s="12" t="s">
        <v>178</v>
      </c>
      <c r="C50" s="12" t="s">
        <v>76</v>
      </c>
      <c r="D50" s="13" t="s">
        <v>179</v>
      </c>
      <c r="E50" s="14" t="s">
        <v>180</v>
      </c>
      <c r="F50" s="15" t="n">
        <v>55000</v>
      </c>
      <c r="G50" s="15" t="n">
        <v>3000</v>
      </c>
      <c r="H50" s="15" t="n">
        <v>2400</v>
      </c>
      <c r="I50" s="15" t="n">
        <v>0</v>
      </c>
      <c r="J50" s="15" t="n">
        <v>60400</v>
      </c>
      <c r="K50" s="15" t="n">
        <v>6342</v>
      </c>
      <c r="L50" s="15" t="n">
        <v>3298</v>
      </c>
      <c r="M50" s="15" t="n">
        <v>3624</v>
      </c>
      <c r="N50" s="15" t="n">
        <v>73664</v>
      </c>
      <c r="O50" s="15" t="n">
        <v>73664</v>
      </c>
      <c r="P50" s="15" t="n">
        <v>77347</v>
      </c>
    </row>
    <row r="51" customFormat="false" ht="15" hidden="false" customHeight="true" outlineLevel="0" collapsed="false">
      <c r="A51" s="8" t="s">
        <v>173</v>
      </c>
      <c r="B51" s="8" t="s">
        <v>181</v>
      </c>
      <c r="C51" s="8" t="s">
        <v>80</v>
      </c>
      <c r="D51" s="9" t="s">
        <v>182</v>
      </c>
      <c r="E51" s="10" t="s">
        <v>183</v>
      </c>
      <c r="F51" s="11" t="n">
        <v>45000</v>
      </c>
      <c r="G51" s="11" t="n">
        <v>3000</v>
      </c>
      <c r="H51" s="11" t="n">
        <v>2400</v>
      </c>
      <c r="I51" s="11" t="n">
        <v>0</v>
      </c>
      <c r="J51" s="11" t="n">
        <v>50400</v>
      </c>
      <c r="K51" s="11" t="n">
        <v>5292</v>
      </c>
      <c r="L51" s="11" t="n">
        <v>2752</v>
      </c>
      <c r="M51" s="11" t="n">
        <v>3024</v>
      </c>
      <c r="N51" s="11" t="n">
        <v>61468</v>
      </c>
      <c r="O51" s="11" t="n">
        <v>61468</v>
      </c>
      <c r="P51" s="11" t="n">
        <v>64541</v>
      </c>
    </row>
    <row r="52" customFormat="false" ht="15" hidden="false" customHeight="true" outlineLevel="0" collapsed="false">
      <c r="A52" s="12" t="s">
        <v>173</v>
      </c>
      <c r="B52" s="12" t="s">
        <v>184</v>
      </c>
      <c r="C52" s="12" t="s">
        <v>185</v>
      </c>
      <c r="D52" s="13" t="s">
        <v>186</v>
      </c>
      <c r="E52" s="14" t="s">
        <v>187</v>
      </c>
      <c r="F52" s="15" t="n">
        <v>36000</v>
      </c>
      <c r="G52" s="15" t="n">
        <v>3000</v>
      </c>
      <c r="H52" s="15" t="n">
        <v>2400</v>
      </c>
      <c r="I52" s="15" t="n">
        <v>0</v>
      </c>
      <c r="J52" s="15" t="n">
        <v>41400</v>
      </c>
      <c r="K52" s="15" t="n">
        <v>4347</v>
      </c>
      <c r="L52" s="15" t="n">
        <v>2260</v>
      </c>
      <c r="M52" s="15" t="n">
        <v>2484</v>
      </c>
      <c r="N52" s="15" t="n">
        <v>50491</v>
      </c>
      <c r="O52" s="15" t="n">
        <v>50491</v>
      </c>
      <c r="P52" s="15" t="n">
        <v>53016</v>
      </c>
    </row>
    <row r="53" customFormat="false" ht="18" hidden="false" customHeight="true" outlineLevel="0" collapsed="false">
      <c r="A53" s="16" t="s">
        <v>188</v>
      </c>
      <c r="B53" s="16"/>
      <c r="C53" s="16"/>
      <c r="D53" s="16"/>
      <c r="E53" s="16"/>
      <c r="F53" s="17" t="n">
        <f aca="false">SUM(F4:F13)</f>
        <v>522000</v>
      </c>
      <c r="I53" s="17" t="n">
        <f aca="false">SUM(I4:I13)</f>
        <v>24000</v>
      </c>
      <c r="J53" s="17" t="n">
        <f aca="false">SUM(J4:J13)</f>
        <v>600000</v>
      </c>
      <c r="K53" s="17" t="n">
        <f aca="false">SUM(K4:K13)</f>
        <v>63000</v>
      </c>
      <c r="L53" s="17" t="n">
        <f aca="false">SUM(L4:L13)</f>
        <v>32762</v>
      </c>
      <c r="M53" s="17" t="n">
        <f aca="false">SUM(M4:M13)</f>
        <v>36000</v>
      </c>
      <c r="N53" s="17" t="n">
        <f aca="false">SUM(N4:N13)</f>
        <v>731762</v>
      </c>
      <c r="O53" s="17" t="n">
        <f aca="false">SUM(O4:O13)</f>
        <v>731762</v>
      </c>
      <c r="P53" s="17" t="n">
        <f aca="false">SUM(P4:P13)</f>
        <v>768349</v>
      </c>
    </row>
    <row r="54" customFormat="false" ht="18" hidden="false" customHeight="true" outlineLevel="0" collapsed="false">
      <c r="A54" s="16" t="s">
        <v>189</v>
      </c>
      <c r="B54" s="16"/>
      <c r="C54" s="16"/>
      <c r="D54" s="16"/>
      <c r="E54" s="16"/>
      <c r="F54" s="17" t="n">
        <f aca="false">SUM(F14:F20)</f>
        <v>845000</v>
      </c>
      <c r="I54" s="17" t="n">
        <f aca="false">SUM(I14:I20)</f>
        <v>24000</v>
      </c>
      <c r="J54" s="17" t="n">
        <f aca="false">SUM(J14:J20)</f>
        <v>911000</v>
      </c>
      <c r="K54" s="17" t="n">
        <f aca="false">SUM(K14:K20)</f>
        <v>95655</v>
      </c>
      <c r="L54" s="17" t="n">
        <f aca="false">SUM(L14:L20)</f>
        <v>49741</v>
      </c>
      <c r="M54" s="17" t="n">
        <f aca="false">SUM(M14:M20)</f>
        <v>54660</v>
      </c>
      <c r="N54" s="17" t="n">
        <f aca="false">SUM(N14:N20)</f>
        <v>1111056</v>
      </c>
      <c r="O54" s="17" t="n">
        <f aca="false">SUM(O14:O20)</f>
        <v>1111056</v>
      </c>
      <c r="P54" s="17" t="n">
        <f aca="false">SUM(P14:P20)</f>
        <v>1166609</v>
      </c>
    </row>
    <row r="55" customFormat="false" ht="18" hidden="false" customHeight="true" outlineLevel="0" collapsed="false">
      <c r="A55" s="16" t="s">
        <v>190</v>
      </c>
      <c r="B55" s="16"/>
      <c r="C55" s="16"/>
      <c r="D55" s="16"/>
      <c r="E55" s="16"/>
      <c r="F55" s="17" t="n">
        <f aca="false">SUM(F21:F26)</f>
        <v>311000</v>
      </c>
      <c r="I55" s="17" t="n">
        <f aca="false">SUM(I21:I26)</f>
        <v>16000</v>
      </c>
      <c r="J55" s="17" t="n">
        <f aca="false">SUM(J21:J26)</f>
        <v>359400</v>
      </c>
      <c r="K55" s="17" t="n">
        <f aca="false">SUM(K21:K26)</f>
        <v>37737</v>
      </c>
      <c r="L55" s="17" t="n">
        <f aca="false">SUM(L21:L26)</f>
        <v>19624</v>
      </c>
      <c r="M55" s="17" t="n">
        <f aca="false">SUM(M21:M26)</f>
        <v>21564</v>
      </c>
      <c r="N55" s="17" t="n">
        <f aca="false">SUM(N21:N26)</f>
        <v>438325</v>
      </c>
      <c r="O55" s="17" t="n">
        <f aca="false">SUM(O21:O26)</f>
        <v>438325</v>
      </c>
      <c r="P55" s="17" t="n">
        <f aca="false">SUM(P21:P26)</f>
        <v>460242</v>
      </c>
    </row>
    <row r="56" customFormat="false" ht="18" hidden="false" customHeight="true" outlineLevel="0" collapsed="false">
      <c r="A56" s="16" t="s">
        <v>191</v>
      </c>
      <c r="B56" s="16"/>
      <c r="C56" s="16"/>
      <c r="D56" s="16"/>
      <c r="E56" s="16"/>
      <c r="F56" s="17" t="n">
        <f aca="false">SUM(F27:F32)</f>
        <v>368000</v>
      </c>
      <c r="I56" s="17" t="n">
        <f aca="false">SUM(I27:I32)</f>
        <v>16000</v>
      </c>
      <c r="J56" s="17" t="n">
        <f aca="false">SUM(J27:J32)</f>
        <v>416400</v>
      </c>
      <c r="K56" s="17" t="n">
        <f aca="false">SUM(K27:K32)</f>
        <v>43722</v>
      </c>
      <c r="L56" s="17" t="n">
        <f aca="false">SUM(L27:L32)</f>
        <v>22737</v>
      </c>
      <c r="M56" s="17" t="n">
        <f aca="false">SUM(M27:M32)</f>
        <v>24984</v>
      </c>
      <c r="N56" s="17" t="n">
        <f aca="false">SUM(N27:N32)</f>
        <v>507843</v>
      </c>
      <c r="O56" s="17" t="n">
        <f aca="false">SUM(O27:O32)</f>
        <v>507843</v>
      </c>
      <c r="P56" s="17" t="n">
        <f aca="false">SUM(P27:P32)</f>
        <v>533235</v>
      </c>
    </row>
    <row r="57" customFormat="false" ht="18" hidden="false" customHeight="true" outlineLevel="0" collapsed="false">
      <c r="A57" s="16" t="s">
        <v>192</v>
      </c>
      <c r="B57" s="16"/>
      <c r="C57" s="16"/>
      <c r="D57" s="16"/>
      <c r="E57" s="16"/>
      <c r="F57" s="17" t="n">
        <f aca="false">SUM(F33:F37)</f>
        <v>364000</v>
      </c>
      <c r="I57" s="17" t="n">
        <f aca="false">SUM(I33:I37)</f>
        <v>16000</v>
      </c>
      <c r="J57" s="17" t="n">
        <f aca="false">SUM(J33:J37)</f>
        <v>407000</v>
      </c>
      <c r="K57" s="17" t="n">
        <f aca="false">SUM(K33:K37)</f>
        <v>42735</v>
      </c>
      <c r="L57" s="17" t="n">
        <f aca="false">SUM(L33:L37)</f>
        <v>22223</v>
      </c>
      <c r="M57" s="17" t="n">
        <f aca="false">SUM(M33:M37)</f>
        <v>24420</v>
      </c>
      <c r="N57" s="17" t="n">
        <f aca="false">SUM(N33:N37)</f>
        <v>496378</v>
      </c>
      <c r="O57" s="17" t="n">
        <f aca="false">SUM(O33:O37)</f>
        <v>496378</v>
      </c>
      <c r="P57" s="17" t="n">
        <f aca="false">SUM(P33:P37)</f>
        <v>521197</v>
      </c>
    </row>
    <row r="58" customFormat="false" ht="18" hidden="false" customHeight="true" outlineLevel="0" collapsed="false">
      <c r="A58" s="16" t="s">
        <v>193</v>
      </c>
      <c r="B58" s="16"/>
      <c r="C58" s="16"/>
      <c r="D58" s="16"/>
      <c r="E58" s="16"/>
      <c r="F58" s="17" t="n">
        <f aca="false">SUM(F38:F43)</f>
        <v>396000</v>
      </c>
      <c r="I58" s="17" t="n">
        <f aca="false">SUM(I38:I43)</f>
        <v>16000</v>
      </c>
      <c r="J58" s="17" t="n">
        <f aca="false">SUM(J38:J43)</f>
        <v>444400</v>
      </c>
      <c r="K58" s="17" t="n">
        <f aca="false">SUM(K38:K43)</f>
        <v>46662</v>
      </c>
      <c r="L58" s="17" t="n">
        <f aca="false">SUM(L38:L43)</f>
        <v>24263</v>
      </c>
      <c r="M58" s="17" t="n">
        <f aca="false">SUM(M38:M43)</f>
        <v>26664</v>
      </c>
      <c r="N58" s="17" t="n">
        <f aca="false">SUM(N38:N43)</f>
        <v>541989</v>
      </c>
      <c r="O58" s="17" t="n">
        <f aca="false">SUM(O38:O43)</f>
        <v>541989</v>
      </c>
      <c r="P58" s="17" t="n">
        <f aca="false">SUM(P38:P43)</f>
        <v>569089</v>
      </c>
    </row>
    <row r="59" customFormat="false" ht="18" hidden="false" customHeight="true" outlineLevel="0" collapsed="false">
      <c r="A59" s="16" t="s">
        <v>194</v>
      </c>
      <c r="B59" s="16"/>
      <c r="C59" s="16"/>
      <c r="D59" s="16"/>
      <c r="E59" s="16"/>
      <c r="F59" s="17" t="n">
        <f aca="false">SUM(F44:F48)</f>
        <v>388000</v>
      </c>
      <c r="I59" s="17" t="n">
        <f aca="false">SUM(I44:I48)</f>
        <v>16000</v>
      </c>
      <c r="J59" s="17" t="n">
        <f aca="false">SUM(J44:J48)</f>
        <v>431000</v>
      </c>
      <c r="K59" s="17" t="n">
        <f aca="false">SUM(K44:K48)</f>
        <v>45255</v>
      </c>
      <c r="L59" s="17" t="n">
        <f aca="false">SUM(L44:L48)</f>
        <v>23533</v>
      </c>
      <c r="M59" s="17" t="n">
        <f aca="false">SUM(M44:M48)</f>
        <v>25860</v>
      </c>
      <c r="N59" s="17" t="n">
        <f aca="false">SUM(N44:N48)</f>
        <v>525648</v>
      </c>
      <c r="O59" s="17" t="n">
        <f aca="false">SUM(O44:O48)</f>
        <v>525648</v>
      </c>
      <c r="P59" s="17" t="n">
        <f aca="false">SUM(P44:P48)</f>
        <v>551930</v>
      </c>
    </row>
    <row r="60" customFormat="false" ht="18" hidden="false" customHeight="true" outlineLevel="0" collapsed="false">
      <c r="A60" s="16" t="s">
        <v>195</v>
      </c>
      <c r="B60" s="16"/>
      <c r="C60" s="16"/>
      <c r="D60" s="16"/>
      <c r="E60" s="16"/>
      <c r="F60" s="17" t="n">
        <f aca="false">SUM(F49:F52)</f>
        <v>221000</v>
      </c>
      <c r="I60" s="17" t="n">
        <f aca="false">SUM(I49:I52)</f>
        <v>8000</v>
      </c>
      <c r="J60" s="17" t="n">
        <f aca="false">SUM(J49:J52)</f>
        <v>250600</v>
      </c>
      <c r="K60" s="17" t="n">
        <f aca="false">SUM(K49:K52)</f>
        <v>26313</v>
      </c>
      <c r="L60" s="17" t="n">
        <f aca="false">SUM(L49:L52)</f>
        <v>13683</v>
      </c>
      <c r="M60" s="17" t="n">
        <f aca="false">SUM(M49:M52)</f>
        <v>15036</v>
      </c>
      <c r="N60" s="17" t="n">
        <f aca="false">SUM(N49:N52)</f>
        <v>305632</v>
      </c>
      <c r="O60" s="17" t="n">
        <f aca="false">SUM(O49:O52)</f>
        <v>305632</v>
      </c>
      <c r="P60" s="17" t="n">
        <f aca="false">SUM(P49:P52)</f>
        <v>320913</v>
      </c>
    </row>
    <row r="61" customFormat="false" ht="21.75" hidden="false" customHeight="true" outlineLevel="0" collapsed="false">
      <c r="A61" s="18" t="s">
        <v>196</v>
      </c>
      <c r="B61" s="18"/>
      <c r="C61" s="18"/>
      <c r="D61" s="18"/>
      <c r="E61" s="18"/>
      <c r="F61" s="19" t="n">
        <f aca="false">SUM(F5:F60)</f>
        <v>6758000</v>
      </c>
      <c r="I61" s="19" t="n">
        <f aca="false">SUM(I5:I60)</f>
        <v>264000</v>
      </c>
      <c r="J61" s="19" t="n">
        <f aca="false">SUM(J5:J60)</f>
        <v>7554200</v>
      </c>
      <c r="K61" s="19" t="n">
        <f aca="false">SUM(K5:K60)</f>
        <v>793191</v>
      </c>
      <c r="L61" s="19" t="n">
        <f aca="false">SUM(L5:L60)</f>
        <v>412469</v>
      </c>
      <c r="M61" s="19" t="n">
        <f aca="false">SUM(M5:M60)</f>
        <v>453252</v>
      </c>
      <c r="N61" s="19" t="n">
        <f aca="false">SUM(N5:N60)</f>
        <v>9213112</v>
      </c>
      <c r="O61" s="19" t="n">
        <f aca="false">SUM(O5:O60)</f>
        <v>9213112</v>
      </c>
      <c r="P61" s="19" t="n">
        <f aca="false">SUM(P5:P60)</f>
        <v>9673766</v>
      </c>
    </row>
  </sheetData>
  <mergeCells count="11">
    <mergeCell ref="A1:P1"/>
    <mergeCell ref="A2:P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6"/>
  </cols>
  <sheetData>
    <row r="1" customFormat="false" ht="27.75" hidden="false" customHeight="true" outlineLevel="0" collapsed="false">
      <c r="A1" s="20" t="s">
        <v>197</v>
      </c>
      <c r="B1" s="20"/>
      <c r="C1" s="20"/>
      <c r="D1" s="20"/>
      <c r="E1" s="20"/>
      <c r="F1" s="20"/>
      <c r="G1" s="20"/>
      <c r="H1" s="20"/>
    </row>
    <row r="2" customFormat="false" ht="27.75" hidden="false" customHeight="true" outlineLevel="0" collapsed="false">
      <c r="A2" s="21" t="s">
        <v>198</v>
      </c>
      <c r="B2" s="21" t="s">
        <v>199</v>
      </c>
      <c r="C2" s="21" t="s">
        <v>200</v>
      </c>
      <c r="D2" s="21" t="s">
        <v>201</v>
      </c>
      <c r="E2" s="22" t="s">
        <v>202</v>
      </c>
      <c r="F2" s="22" t="s">
        <v>203</v>
      </c>
      <c r="G2" s="21" t="s">
        <v>204</v>
      </c>
    </row>
    <row r="3" customFormat="false" ht="15.75" hidden="false" customHeight="true" outlineLevel="0" collapsed="false">
      <c r="A3" s="23" t="s">
        <v>205</v>
      </c>
      <c r="B3" s="24" t="n">
        <v>14800000</v>
      </c>
      <c r="C3" s="24" t="n">
        <v>15540000</v>
      </c>
      <c r="D3" s="24" t="n">
        <v>11840000</v>
      </c>
      <c r="E3" s="25" t="n">
        <v>740000</v>
      </c>
      <c r="F3" s="26" t="n">
        <v>-2960000</v>
      </c>
      <c r="G3" s="27" t="s">
        <v>206</v>
      </c>
    </row>
    <row r="4" customFormat="false" ht="15.75" hidden="false" customHeight="true" outlineLevel="0" collapsed="false">
      <c r="A4" s="28" t="s">
        <v>207</v>
      </c>
      <c r="B4" s="29" t="n">
        <v>14829600</v>
      </c>
      <c r="C4" s="29" t="n">
        <v>15571080</v>
      </c>
      <c r="D4" s="29" t="n">
        <v>11863680</v>
      </c>
      <c r="E4" s="30" t="n">
        <v>741480</v>
      </c>
      <c r="F4" s="31" t="n">
        <v>-2965920</v>
      </c>
      <c r="G4" s="32" t="s">
        <v>206</v>
      </c>
    </row>
    <row r="5" customFormat="false" ht="15.75" hidden="false" customHeight="true" outlineLevel="0" collapsed="false">
      <c r="A5" s="23" t="s">
        <v>208</v>
      </c>
      <c r="B5" s="24" t="n">
        <v>14859200</v>
      </c>
      <c r="C5" s="24" t="n">
        <v>15602160</v>
      </c>
      <c r="D5" s="24" t="n">
        <v>11887360</v>
      </c>
      <c r="E5" s="25" t="n">
        <v>742960</v>
      </c>
      <c r="F5" s="26" t="n">
        <v>-2971840</v>
      </c>
      <c r="G5" s="27" t="s">
        <v>206</v>
      </c>
    </row>
    <row r="6" customFormat="false" ht="15.75" hidden="false" customHeight="true" outlineLevel="0" collapsed="false">
      <c r="A6" s="28" t="s">
        <v>209</v>
      </c>
      <c r="B6" s="29" t="n">
        <v>14888800</v>
      </c>
      <c r="C6" s="29" t="n">
        <v>15633240</v>
      </c>
      <c r="D6" s="29" t="n">
        <v>11911040</v>
      </c>
      <c r="E6" s="30" t="n">
        <v>744440</v>
      </c>
      <c r="F6" s="31" t="n">
        <v>-2977760</v>
      </c>
      <c r="G6" s="32" t="s">
        <v>206</v>
      </c>
    </row>
    <row r="7" customFormat="false" ht="15.75" hidden="false" customHeight="true" outlineLevel="0" collapsed="false">
      <c r="A7" s="23" t="s">
        <v>210</v>
      </c>
      <c r="B7" s="24" t="n">
        <v>14918400</v>
      </c>
      <c r="C7" s="24" t="n">
        <v>15664320</v>
      </c>
      <c r="D7" s="24" t="n">
        <v>11934720</v>
      </c>
      <c r="E7" s="25" t="n">
        <v>745920</v>
      </c>
      <c r="F7" s="26" t="n">
        <v>-2983680</v>
      </c>
      <c r="G7" s="27" t="s">
        <v>206</v>
      </c>
    </row>
    <row r="8" customFormat="false" ht="15.75" hidden="false" customHeight="true" outlineLevel="0" collapsed="false">
      <c r="A8" s="28" t="s">
        <v>211</v>
      </c>
      <c r="B8" s="29" t="n">
        <v>14948000</v>
      </c>
      <c r="C8" s="29" t="n">
        <v>15695400</v>
      </c>
      <c r="D8" s="29" t="n">
        <v>11958400</v>
      </c>
      <c r="E8" s="30" t="n">
        <v>747400</v>
      </c>
      <c r="F8" s="31" t="n">
        <v>-2989600</v>
      </c>
      <c r="G8" s="32" t="s">
        <v>206</v>
      </c>
    </row>
    <row r="9" customFormat="false" ht="19.5" hidden="false" customHeight="true" outlineLevel="0" collapsed="false">
      <c r="A9" s="33" t="s">
        <v>212</v>
      </c>
      <c r="B9" s="17" t="n">
        <f aca="false">SUM(B3:B8)</f>
        <v>89244000</v>
      </c>
      <c r="C9" s="17" t="n">
        <f aca="false">SUM(C3:C8)</f>
        <v>93706200</v>
      </c>
      <c r="D9" s="17" t="n">
        <f aca="false">SUM(D3:D8)</f>
        <v>71395200</v>
      </c>
      <c r="E9" s="17" t="n">
        <f aca="false">SUM(E3:E8)</f>
        <v>4462200</v>
      </c>
      <c r="F9" s="17" t="n">
        <f aca="false">SUM(F3:F8)</f>
        <v>-17848800</v>
      </c>
      <c r="G9" s="34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2026-04-14T23:36:31Z</dcterms:created>
  <dc:creator>openpyxl</dc:creator>
  <dc:description/>
  <dc:language>en-US</dc:language>
  <cp:lastModifiedBy/>
  <dcterms:modified xsi:type="dcterms:W3CDTF">2026-04-14T23:36:31Z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