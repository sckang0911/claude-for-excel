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分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<sst xmlns="http://schemas.openxmlformats.org/spreadsheetml/2006/main" count="54" uniqueCount="54">
  <si>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r>
      <rPr>
        <b val="true"/>
        <sz val="13"/>
        <color rgb="FFFFFFFF"/>
        <rFont val="DejaVu Sans"/>
        <family val="2"/>
      </rPr>
      <t xml:space="preserve">設備投資效益分析（</t>
    </r>
    <r>
      <rPr>
        <b val="true"/>
        <sz val="13"/>
        <color rgb="FFFFFFFF"/>
        <rFont val="Arial"/>
        <family val="0"/>
        <charset val="1"/>
      </rPr>
      <t xml:space="preserve">AI</t>
    </r>
    <r>
      <rPr>
        <b val="true"/>
        <sz val="13"/>
        <color rgb="FFFFFFFF"/>
        <rFont val="DejaVu Sans"/>
        <family val="2"/>
      </rPr>
      <t xml:space="preserve">醫療影像診斷系統）</t>
    </r>
  </si>
  <si>
    <r>
      <rPr>
        <sz val="9"/>
        <color rgb="FF94A3B8"/>
        <rFont val="DejaVu Sans"/>
        <family val="2"/>
      </rPr>
      <t xml:space="preserve">投資期間：</t>
    </r>
    <r>
      <rPr>
        <sz val="9"/>
        <color rgb="FF94A3B8"/>
        <rFont val="Arial"/>
        <family val="0"/>
        <charset val="1"/>
      </rPr>
      <t xml:space="preserve">2026-2030</t>
    </r>
    <r>
      <rPr>
        <sz val="9"/>
        <color rgb="FF94A3B8"/>
        <rFont val="DejaVu Sans"/>
        <family val="2"/>
      </rPr>
      <t xml:space="preserve">（</t>
    </r>
    <r>
      <rPr>
        <sz val="9"/>
        <color rgb="FF94A3B8"/>
        <rFont val="Arial"/>
        <family val="0"/>
        <charset val="1"/>
      </rPr>
      <t xml:space="preserve">5</t>
    </r>
    <r>
      <rPr>
        <sz val="9"/>
        <color rgb="FF94A3B8"/>
        <rFont val="DejaVu Sans"/>
        <family val="2"/>
      </rPr>
      <t xml:space="preserve">年）｜折現率</t>
    </r>
    <r>
      <rPr>
        <sz val="9"/>
        <color rgb="FF94A3B8"/>
        <rFont val="Arial"/>
        <family val="0"/>
        <charset val="1"/>
      </rPr>
      <t xml:space="preserve">(WACC)</t>
    </r>
    <r>
      <rPr>
        <sz val="9"/>
        <color rgb="FF94A3B8"/>
        <rFont val="DejaVu Sans"/>
        <family val="2"/>
      </rPr>
      <t xml:space="preserve">：</t>
    </r>
    <r>
      <rPr>
        <sz val="9"/>
        <color rgb="FF94A3B8"/>
        <rFont val="Arial"/>
        <family val="0"/>
        <charset val="1"/>
      </rPr>
      <t xml:space="preserve">8%</t>
    </r>
    <r>
      <rPr>
        <sz val="9"/>
        <color rgb="FF94A3B8"/>
        <rFont val="DejaVu Sans"/>
        <family val="2"/>
      </rPr>
      <t xml:space="preserve">｜財務部試算  </t>
    </r>
    <r>
      <rPr>
        <sz val="9"/>
        <color rgb="FF94A3B8"/>
        <rFont val="Arial"/>
        <family val="0"/>
        <charset val="1"/>
      </rPr>
      <t xml:space="preserve">2026-01-15</t>
    </r>
  </si>
  <si>
    <t xml:space="preserve">一、投資成本假設（藍色欄位可調整）</t>
  </si>
  <si>
    <t xml:space="preserve">設備採購費用（含安裝）</t>
  </si>
  <si>
    <r>
      <rPr>
        <sz val="9"/>
        <color rgb="FF1E40AF"/>
        <rFont val="DejaVu Sans"/>
        <family val="2"/>
      </rPr>
      <t xml:space="preserve">軟體授權費（</t>
    </r>
    <r>
      <rPr>
        <sz val="9"/>
        <color rgb="FF1E40AF"/>
        <rFont val="Arial"/>
        <family val="0"/>
        <charset val="1"/>
      </rPr>
      <t xml:space="preserve">Year 1</t>
    </r>
    <r>
      <rPr>
        <sz val="9"/>
        <color rgb="FF1E40AF"/>
        <rFont val="DejaVu Sans"/>
        <family val="2"/>
      </rPr>
      <t xml:space="preserve">）</t>
    </r>
  </si>
  <si>
    <t xml:space="preserve">系統整合顧問費</t>
  </si>
  <si>
    <t xml:space="preserve">人員訓練費用</t>
  </si>
  <si>
    <r>
      <rPr>
        <sz val="9"/>
        <color rgb="FF1E40AF"/>
        <rFont val="DejaVu Sans"/>
        <family val="2"/>
      </rPr>
      <t xml:space="preserve">運維年費（</t>
    </r>
    <r>
      <rPr>
        <sz val="9"/>
        <color rgb="FF1E40AF"/>
        <rFont val="Arial"/>
        <family val="0"/>
        <charset val="1"/>
      </rPr>
      <t xml:space="preserve">Year 2</t>
    </r>
    <r>
      <rPr>
        <sz val="9"/>
        <color rgb="FF1E40AF"/>
        <rFont val="DejaVu Sans"/>
        <family val="2"/>
      </rPr>
      <t xml:space="preserve">起）</t>
    </r>
  </si>
  <si>
    <t xml:space="preserve">折舊年限（年）</t>
  </si>
  <si>
    <t xml:space="preserve">殘值率</t>
  </si>
  <si>
    <r>
      <rPr>
        <sz val="9"/>
        <color rgb="FF1E40AF"/>
        <rFont val="DejaVu Sans"/>
        <family val="2"/>
      </rPr>
      <t xml:space="preserve">折現率（</t>
    </r>
    <r>
      <rPr>
        <sz val="9"/>
        <color rgb="FF1E40AF"/>
        <rFont val="Arial"/>
        <family val="0"/>
        <charset val="1"/>
      </rPr>
      <t xml:space="preserve">WACC</t>
    </r>
    <r>
      <rPr>
        <sz val="9"/>
        <color rgb="FF1E40AF"/>
        <rFont val="DejaVu Sans"/>
        <family val="2"/>
      </rPr>
      <t xml:space="preserve">）</t>
    </r>
  </si>
  <si>
    <t xml:space="preserve">效益年成長率</t>
  </si>
  <si>
    <t xml:space="preserve">通膨率</t>
  </si>
  <si>
    <r>
      <rPr>
        <b val="true"/>
        <sz val="9"/>
        <color rgb="FF0F172A"/>
        <rFont val="DejaVu Sans"/>
        <family val="2"/>
      </rPr>
      <t xml:space="preserve">總初始投資（</t>
    </r>
    <r>
      <rPr>
        <b val="true"/>
        <sz val="9"/>
        <color rgb="FF0F172A"/>
        <rFont val="Arial"/>
        <family val="0"/>
        <charset val="1"/>
      </rPr>
      <t xml:space="preserve">Y1</t>
    </r>
    <r>
      <rPr>
        <b val="true"/>
        <sz val="9"/>
        <color rgb="FF0F172A"/>
        <rFont val="DejaVu Sans"/>
        <family val="2"/>
      </rPr>
      <t xml:space="preserve">）</t>
    </r>
  </si>
  <si>
    <t xml:space="preserve">年折舊額</t>
  </si>
  <si>
    <t xml:space="preserve">二、年度效益假設（藍色可調整）</t>
  </si>
  <si>
    <r>
      <rPr>
        <sz val="9"/>
        <color rgb="FF0F172A"/>
        <rFont val="DejaVu Sans"/>
        <family val="2"/>
      </rPr>
      <t xml:space="preserve">診斷效率節省人力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年</t>
    </r>
  </si>
  <si>
    <r>
      <rPr>
        <sz val="9"/>
        <color rgb="FF0F172A"/>
        <rFont val="DejaVu Sans"/>
        <family val="2"/>
      </rPr>
      <t xml:space="preserve">減少醫療糾紛損失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年</t>
    </r>
  </si>
  <si>
    <r>
      <rPr>
        <sz val="9"/>
        <color rgb="FF0F172A"/>
        <rFont val="DejaVu Sans"/>
        <family val="2"/>
      </rPr>
      <t xml:space="preserve">新業務增量收入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年</t>
    </r>
  </si>
  <si>
    <r>
      <rPr>
        <sz val="9"/>
        <color rgb="FF0F172A"/>
        <rFont val="Arial"/>
        <family val="0"/>
        <charset val="1"/>
      </rPr>
      <t xml:space="preserve">IT</t>
    </r>
    <r>
      <rPr>
        <sz val="9"/>
        <color rgb="FF0F172A"/>
        <rFont val="DejaVu Sans"/>
        <family val="2"/>
      </rPr>
      <t xml:space="preserve">維護費節省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年</t>
    </r>
  </si>
  <si>
    <t xml:space="preserve">第一年基礎效益合計</t>
  </si>
  <si>
    <r>
      <rPr>
        <b val="true"/>
        <sz val="10"/>
        <color rgb="FFFFFFFF"/>
        <rFont val="DejaVu Sans"/>
        <family val="2"/>
      </rPr>
      <t xml:space="preserve">三、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年現金流量明細</t>
    </r>
  </si>
  <si>
    <t xml:space="preserve">項目</t>
  </si>
  <si>
    <t xml:space="preserve">Y1 (2026)</t>
  </si>
  <si>
    <t xml:space="preserve">Y2 (2027)</t>
  </si>
  <si>
    <t xml:space="preserve">Y3 (2028)</t>
  </si>
  <si>
    <t xml:space="preserve">Y4 (2029)</t>
  </si>
  <si>
    <t xml:space="preserve">Y5 (2030)</t>
  </si>
  <si>
    <t xml:space="preserve">效益（含年成長）</t>
  </si>
  <si>
    <t xml:space="preserve">維護運維費用</t>
  </si>
  <si>
    <t xml:space="preserve">折舊費用</t>
  </si>
  <si>
    <t xml:space="preserve">稅前淨收益</t>
  </si>
  <si>
    <r>
      <rPr>
        <sz val="9"/>
        <color rgb="FF0F172A"/>
        <rFont val="DejaVu Sans"/>
        <family val="2"/>
      </rPr>
      <t xml:space="preserve">所得稅（</t>
    </r>
    <r>
      <rPr>
        <sz val="9"/>
        <color rgb="FF0F172A"/>
        <rFont val="Arial"/>
        <family val="0"/>
        <charset val="1"/>
      </rPr>
      <t xml:space="preserve">20%</t>
    </r>
    <r>
      <rPr>
        <sz val="9"/>
        <color rgb="FF0F172A"/>
        <rFont val="DejaVu Sans"/>
        <family val="2"/>
      </rPr>
      <t xml:space="preserve">）</t>
    </r>
  </si>
  <si>
    <t xml:space="preserve">稅後淨收益</t>
  </si>
  <si>
    <t xml:space="preserve">加回折舊</t>
  </si>
  <si>
    <r>
      <rPr>
        <sz val="9"/>
        <color rgb="FF0F172A"/>
        <rFont val="DejaVu Sans"/>
        <family val="2"/>
      </rPr>
      <t xml:space="preserve">初始投資（</t>
    </r>
    <r>
      <rPr>
        <sz val="9"/>
        <color rgb="FF0F172A"/>
        <rFont val="Arial"/>
        <family val="0"/>
        <charset val="1"/>
      </rPr>
      <t xml:space="preserve">Year1</t>
    </r>
    <r>
      <rPr>
        <sz val="9"/>
        <color rgb="FF0F172A"/>
        <rFont val="DejaVu Sans"/>
        <family val="2"/>
      </rPr>
      <t xml:space="preserve">）</t>
    </r>
  </si>
  <si>
    <r>
      <rPr>
        <b val="true"/>
        <sz val="9"/>
        <color rgb="FF0F172A"/>
        <rFont val="DejaVu Sans"/>
        <family val="2"/>
      </rPr>
      <t xml:space="preserve">淨現金流量</t>
    </r>
    <r>
      <rPr>
        <b val="true"/>
        <sz val="9"/>
        <color rgb="FF0F172A"/>
        <rFont val="Arial"/>
        <family val="0"/>
        <charset val="1"/>
      </rPr>
      <t xml:space="preserve">(NCF)</t>
    </r>
  </si>
  <si>
    <r>
      <rPr>
        <sz val="9"/>
        <color rgb="FF0F172A"/>
        <rFont val="DejaVu Sans"/>
        <family val="2"/>
      </rPr>
      <t xml:space="preserve">折現因子 </t>
    </r>
    <r>
      <rPr>
        <sz val="9"/>
        <color rgb="FF0F172A"/>
        <rFont val="Arial"/>
        <family val="0"/>
        <charset val="1"/>
      </rPr>
      <t xml:space="preserve">(8%)</t>
    </r>
  </si>
  <si>
    <r>
      <rPr>
        <b val="true"/>
        <sz val="9"/>
        <color rgb="FF0F172A"/>
        <rFont val="DejaVu Sans"/>
        <family val="2"/>
      </rPr>
      <t xml:space="preserve">折現現金流量</t>
    </r>
    <r>
      <rPr>
        <b val="true"/>
        <sz val="9"/>
        <color rgb="FF0F172A"/>
        <rFont val="Arial"/>
        <family val="0"/>
        <charset val="1"/>
      </rPr>
      <t xml:space="preserve">(PV)</t>
    </r>
  </si>
  <si>
    <t xml:space="preserve">累計淨現金流量</t>
  </si>
  <si>
    <t xml:space="preserve">累計折現現金流量</t>
  </si>
  <si>
    <t xml:space="preserve">四、投資報酬指標彙總</t>
  </si>
  <si>
    <r>
      <rPr>
        <b val="true"/>
        <sz val="9"/>
        <color rgb="FF0F172A"/>
        <rFont val="Arial"/>
        <family val="0"/>
        <charset val="1"/>
      </rPr>
      <t xml:space="preserve">5</t>
    </r>
    <r>
      <rPr>
        <b val="true"/>
        <sz val="9"/>
        <color rgb="FF0F172A"/>
        <rFont val="DejaVu Sans"/>
        <family val="2"/>
      </rPr>
      <t xml:space="preserve">年累計淨現金流量（未折現）</t>
    </r>
  </si>
  <si>
    <t xml:space="preserve">正值代表總投入回收且有盈餘</t>
  </si>
  <si>
    <r>
      <rPr>
        <b val="true"/>
        <sz val="9"/>
        <color rgb="FF0F172A"/>
        <rFont val="DejaVu Sans"/>
        <family val="2"/>
      </rPr>
      <t xml:space="preserve">淨現值（</t>
    </r>
    <r>
      <rPr>
        <b val="true"/>
        <sz val="9"/>
        <color rgb="FF0F172A"/>
        <rFont val="Arial"/>
        <family val="0"/>
        <charset val="1"/>
      </rPr>
      <t xml:space="preserve">NPV</t>
    </r>
    <r>
      <rPr>
        <b val="true"/>
        <sz val="9"/>
        <color rgb="FF0F172A"/>
        <rFont val="DejaVu Sans"/>
        <family val="2"/>
      </rPr>
      <t xml:space="preserve">）</t>
    </r>
  </si>
  <si>
    <r>
      <rPr>
        <sz val="8"/>
        <color rgb="FF64748B"/>
        <rFont val="Arial"/>
        <family val="0"/>
        <charset val="1"/>
      </rPr>
      <t xml:space="preserve">NPV&gt;0</t>
    </r>
    <r>
      <rPr>
        <sz val="8"/>
        <color rgb="FF64748B"/>
        <rFont val="DejaVu Sans"/>
        <family val="2"/>
      </rPr>
      <t xml:space="preserve">表示投資有正報酬</t>
    </r>
  </si>
  <si>
    <r>
      <rPr>
        <b val="true"/>
        <sz val="9"/>
        <color rgb="FF0F172A"/>
        <rFont val="DejaVu Sans"/>
        <family val="2"/>
      </rPr>
      <t xml:space="preserve">投資報酬率（</t>
    </r>
    <r>
      <rPr>
        <b val="true"/>
        <sz val="9"/>
        <color rgb="FF0F172A"/>
        <rFont val="Arial"/>
        <family val="0"/>
        <charset val="1"/>
      </rPr>
      <t xml:space="preserve">ROI</t>
    </r>
    <r>
      <rPr>
        <b val="true"/>
        <sz val="9"/>
        <color rgb="FF0F172A"/>
        <rFont val="DejaVu Sans"/>
        <family val="2"/>
      </rPr>
      <t xml:space="preserve">）</t>
    </r>
  </si>
  <si>
    <r>
      <rPr>
        <sz val="8"/>
        <color rgb="FF64748B"/>
        <rFont val="Arial"/>
        <family val="0"/>
        <charset val="1"/>
      </rPr>
      <t xml:space="preserve">ROI&gt;100%</t>
    </r>
    <r>
      <rPr>
        <sz val="8"/>
        <color rgb="FF64748B"/>
        <rFont val="DejaVu Sans"/>
        <family val="2"/>
      </rPr>
      <t xml:space="preserve">代表倍數回收</t>
    </r>
  </si>
  <si>
    <t xml:space="preserve">簡單投資回收期（年）</t>
  </si>
  <si>
    <r>
      <rPr>
        <sz val="8"/>
        <color rgb="FF64748B"/>
        <rFont val="DejaVu Sans"/>
        <family val="2"/>
      </rPr>
      <t xml:space="preserve">越短越好，目標</t>
    </r>
    <r>
      <rPr>
        <sz val="8"/>
        <color rgb="FF64748B"/>
        <rFont val="Arial"/>
        <family val="0"/>
        <charset val="1"/>
      </rPr>
      <t xml:space="preserve">&lt;3</t>
    </r>
    <r>
      <rPr>
        <sz val="8"/>
        <color rgb="FF64748B"/>
        <rFont val="DejaVu Sans"/>
        <family val="2"/>
      </rPr>
      <t xml:space="preserve">年</t>
    </r>
  </si>
  <si>
    <r>
      <rPr>
        <b val="true"/>
        <sz val="9"/>
        <color rgb="FF0F172A"/>
        <rFont val="DejaVu Sans"/>
        <family val="2"/>
      </rPr>
      <t xml:space="preserve">獲利指數（</t>
    </r>
    <r>
      <rPr>
        <b val="true"/>
        <sz val="9"/>
        <color rgb="FF0F172A"/>
        <rFont val="Arial"/>
        <family val="0"/>
        <charset val="1"/>
      </rPr>
      <t xml:space="preserve">PI</t>
    </r>
    <r>
      <rPr>
        <b val="true"/>
        <sz val="9"/>
        <color rgb="FF0F172A"/>
        <rFont val="DejaVu Sans"/>
        <family val="2"/>
      </rPr>
      <t xml:space="preserve">）</t>
    </r>
  </si>
  <si>
    <r>
      <rPr>
        <sz val="8"/>
        <color rgb="FF64748B"/>
        <rFont val="Arial"/>
        <family val="0"/>
        <charset val="1"/>
      </rPr>
      <t xml:space="preserve">PI&gt;1.0</t>
    </r>
    <r>
      <rPr>
        <sz val="8"/>
        <color rgb="FF64748B"/>
        <rFont val="DejaVu Sans"/>
        <family val="2"/>
      </rPr>
      <t xml:space="preserve">即建議投資</t>
    </r>
  </si>
  <si>
    <r>
      <rPr>
        <b val="true"/>
        <sz val="9"/>
        <color rgb="FF0F172A"/>
        <rFont val="DejaVu Sans"/>
        <family val="2"/>
      </rPr>
      <t xml:space="preserve">第一年效益</t>
    </r>
    <r>
      <rPr>
        <b val="true"/>
        <sz val="9"/>
        <color rgb="FF0F172A"/>
        <rFont val="Arial"/>
        <family val="0"/>
        <charset val="1"/>
      </rPr>
      <t xml:space="preserve">/</t>
    </r>
    <r>
      <rPr>
        <b val="true"/>
        <sz val="9"/>
        <color rgb="FF0F172A"/>
        <rFont val="DejaVu Sans"/>
        <family val="2"/>
      </rPr>
      <t xml:space="preserve">投資比</t>
    </r>
  </si>
  <si>
    <r>
      <rPr>
        <sz val="8"/>
        <color rgb="FF64748B"/>
        <rFont val="Arial"/>
        <family val="0"/>
        <charset val="1"/>
      </rPr>
      <t xml:space="preserve">Year 1</t>
    </r>
    <r>
      <rPr>
        <sz val="8"/>
        <color rgb="FF64748B"/>
        <rFont val="DejaVu Sans"/>
        <family val="2"/>
      </rPr>
      <t xml:space="preserve">效益佔總投資比例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</si>
</sst>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0%"/>
    <numFmt numFmtId="168" formatCode="0.0%"/>
    <numFmt numFmtId="169" formatCode="0.0000"/>
    <numFmt numFmtId="170" formatCode="0.0"/>
    <numFmt numFmtId="171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94A3B8"/>
      <name val="DejaVu Sans"/>
      <family val="2"/>
    </font>
    <font>
      <sz val="9"/>
      <color rgb="FF94A3B8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color rgb="FF1E40AF"/>
      <name val="DejaVu Sans"/>
      <family val="2"/>
    </font>
    <font>
      <sz val="9"/>
      <color rgb="FF0000FF"/>
      <name val="Arial"/>
      <family val="0"/>
      <charset val="1"/>
    </font>
    <font>
      <sz val="9"/>
      <color rgb="FF1E40AF"/>
      <name val="Arial"/>
      <family val="0"/>
      <charset val="1"/>
    </font>
    <font>
      <b val="true"/>
      <sz val="9"/>
      <color rgb="FF0F172A"/>
      <name val="DejaVu Sans"/>
      <family val="2"/>
    </font>
    <font>
      <b val="true"/>
      <sz val="9"/>
      <color rgb="FF0F172A"/>
      <name val="Arial"/>
      <family val="0"/>
      <charset val="1"/>
    </font>
    <font>
      <sz val="9"/>
      <color rgb="FF0F172A"/>
      <name val="DejaVu Sans"/>
      <family val="2"/>
    </font>
    <font>
      <sz val="9"/>
      <color rgb="FF0F17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8"/>
      <color rgb="FF64748B"/>
      <name val="DejaVu Sans"/>
      <family val="2"/>
    </font>
    <font>
      <sz val="8"/>
      <color rgb="FF64748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1E40AF"/>
        <bgColor rgb="FF003366"/>
      </patternFill>
    </fill>
    <fill>
      <patternFill patternType="solid">
        <fgColor rgb="FFEFF6FF"/>
        <bgColor rgb="FFF0FDFA"/>
      </patternFill>
    </fill>
    <fill>
      <patternFill patternType="solid">
        <fgColor rgb="FFDBEAFE"/>
        <bgColor rgb="FFE2E8F0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8FAFC"/>
      </patternFill>
    </fill>
    <fill>
      <patternFill patternType="solid">
        <fgColor rgb="FFCCFBF1"/>
        <bgColor rgb="FFDCFCE7"/>
      </patternFill>
    </fill>
    <fill>
      <patternFill patternType="solid">
        <fgColor rgb="FF00C8B4"/>
        <bgColor rgb="FF33CCCC"/>
      </patternFill>
    </fill>
    <fill>
      <patternFill patternType="solid">
        <fgColor rgb="FFF8FAFC"/>
        <bgColor rgb="FFF0FDFA"/>
      </patternFill>
    </fill>
    <fill>
      <patternFill patternType="solid">
        <fgColor rgb="FFFEF9C3"/>
        <bgColor rgb="FFF8FAFC"/>
      </patternFill>
    </fill>
    <fill>
      <patternFill patternType="solid">
        <fgColor rgb="FFFEE2E2"/>
        <bgColor rgb="FFE2E8F0"/>
      </patternFill>
    </fill>
    <fill>
      <patternFill patternType="solid">
        <fgColor rgb="FFDCFCE7"/>
        <bgColor rgb="FFCCFBF1"/>
      </patternFill>
    </fill>
    <fill>
      <patternFill patternType="solid">
        <fgColor rgb="FFE0F2FE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2E8F0"/>
      <rgbColor rgb="FF808080"/>
      <rgbColor rgb="FF9999FF"/>
      <rgbColor rgb="FF993366"/>
      <rgbColor rgb="FFFEF9C3"/>
      <rgbColor rgb="FFCCFBF1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8B4"/>
      <rgbColor rgb="FFDCFCE7"/>
      <rgbColor rgb="FFE0F2FE"/>
      <rgbColor rgb="FFF0FDFA"/>
      <rgbColor rgb="FFEFF6FF"/>
      <rgbColor rgb="FFF8FAF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pane xSplit="1" ySplit="0" topLeftCell="B29" activePane="topRight" state="frozen"/>
      <selection pane="topLeft" activeCell="A29" activeCellId="0" sqref="A29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4" t="s">
        <v>3</v>
      </c>
      <c r="B5" s="5" t="n">
        <v>25000000</v>
      </c>
      <c r="C5" s="6"/>
      <c r="D5" s="6"/>
      <c r="E5" s="6"/>
      <c r="F5" s="6"/>
      <c r="G5" s="6"/>
      <c r="H5" s="6"/>
    </row>
    <row r="6" customFormat="false" ht="18" hidden="false" customHeight="true" outlineLevel="0" collapsed="false">
      <c r="A6" s="4" t="s">
        <v>4</v>
      </c>
      <c r="B6" s="5" t="n">
        <v>1800000</v>
      </c>
      <c r="C6" s="6"/>
      <c r="D6" s="6"/>
      <c r="E6" s="6"/>
      <c r="F6" s="6"/>
      <c r="G6" s="6"/>
      <c r="H6" s="6"/>
    </row>
    <row r="7" customFormat="false" ht="18" hidden="false" customHeight="true" outlineLevel="0" collapsed="false">
      <c r="A7" s="4" t="s">
        <v>5</v>
      </c>
      <c r="B7" s="5" t="n">
        <v>2500000</v>
      </c>
      <c r="C7" s="6"/>
      <c r="D7" s="6"/>
      <c r="E7" s="6"/>
      <c r="F7" s="6"/>
      <c r="G7" s="6"/>
      <c r="H7" s="6"/>
    </row>
    <row r="8" customFormat="false" ht="18" hidden="false" customHeight="true" outlineLevel="0" collapsed="false">
      <c r="A8" s="4" t="s">
        <v>6</v>
      </c>
      <c r="B8" s="5" t="n">
        <v>800000</v>
      </c>
      <c r="C8" s="6"/>
      <c r="D8" s="6"/>
      <c r="E8" s="6"/>
      <c r="F8" s="6"/>
      <c r="G8" s="6"/>
      <c r="H8" s="6"/>
    </row>
    <row r="9" customFormat="false" ht="18" hidden="false" customHeight="true" outlineLevel="0" collapsed="false">
      <c r="A9" s="4" t="s">
        <v>7</v>
      </c>
      <c r="B9" s="5" t="n">
        <v>1200000</v>
      </c>
      <c r="C9" s="6"/>
      <c r="D9" s="6"/>
      <c r="E9" s="6"/>
      <c r="F9" s="6"/>
      <c r="G9" s="6"/>
      <c r="H9" s="6"/>
    </row>
    <row r="10" customFormat="false" ht="18" hidden="false" customHeight="true" outlineLevel="0" collapsed="false">
      <c r="A10" s="4" t="s">
        <v>8</v>
      </c>
      <c r="B10" s="7" t="n">
        <v>5</v>
      </c>
      <c r="C10" s="6"/>
      <c r="D10" s="6"/>
      <c r="E10" s="6"/>
      <c r="F10" s="6"/>
      <c r="G10" s="6"/>
      <c r="H10" s="6"/>
    </row>
    <row r="11" customFormat="false" ht="18" hidden="false" customHeight="true" outlineLevel="0" collapsed="false">
      <c r="A11" s="4" t="s">
        <v>9</v>
      </c>
      <c r="B11" s="8" t="n">
        <v>0.1</v>
      </c>
      <c r="C11" s="6"/>
      <c r="D11" s="6"/>
      <c r="E11" s="6"/>
      <c r="F11" s="6"/>
      <c r="G11" s="6"/>
      <c r="H11" s="6"/>
    </row>
    <row r="12" customFormat="false" ht="18" hidden="false" customHeight="true" outlineLevel="0" collapsed="false">
      <c r="A12" s="4" t="s">
        <v>10</v>
      </c>
      <c r="B12" s="9" t="n">
        <v>0.08</v>
      </c>
      <c r="C12" s="6"/>
      <c r="D12" s="6"/>
      <c r="E12" s="6"/>
      <c r="F12" s="6"/>
      <c r="G12" s="6"/>
      <c r="H12" s="6"/>
    </row>
    <row r="13" customFormat="false" ht="18" hidden="false" customHeight="true" outlineLevel="0" collapsed="false">
      <c r="A13" s="4" t="s">
        <v>11</v>
      </c>
      <c r="B13" s="9" t="n">
        <v>0.1</v>
      </c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A14" s="4" t="s">
        <v>12</v>
      </c>
      <c r="B14" s="9" t="n">
        <v>0.025</v>
      </c>
      <c r="C14" s="6"/>
      <c r="D14" s="6"/>
      <c r="E14" s="6"/>
      <c r="F14" s="6"/>
      <c r="G14" s="6"/>
      <c r="H14" s="6"/>
    </row>
    <row r="16" customFormat="false" ht="18" hidden="false" customHeight="true" outlineLevel="0" collapsed="false">
      <c r="A16" s="10" t="s">
        <v>13</v>
      </c>
      <c r="B16" s="11" t="n">
        <f aca="false">B5+B6+B7+B8</f>
        <v>30100000</v>
      </c>
      <c r="C16" s="12"/>
      <c r="D16" s="12"/>
      <c r="E16" s="12"/>
      <c r="F16" s="12"/>
      <c r="G16" s="12"/>
      <c r="H16" s="12"/>
    </row>
    <row r="17" customFormat="false" ht="18" hidden="false" customHeight="true" outlineLevel="0" collapsed="false">
      <c r="A17" s="13" t="s">
        <v>14</v>
      </c>
      <c r="B17" s="14" t="n">
        <f aca="false">B5*(1-B11)/B10</f>
        <v>4500000</v>
      </c>
      <c r="C17" s="12"/>
      <c r="D17" s="12"/>
      <c r="E17" s="12"/>
      <c r="F17" s="12"/>
      <c r="G17" s="12"/>
      <c r="H17" s="12"/>
    </row>
    <row r="19" customFormat="false" ht="21.75" hidden="false" customHeight="true" outlineLevel="0" collapsed="false">
      <c r="A19" s="15" t="s">
        <v>15</v>
      </c>
      <c r="B19" s="15"/>
      <c r="C19" s="15"/>
      <c r="D19" s="15"/>
      <c r="E19" s="15"/>
      <c r="F19" s="15"/>
      <c r="G19" s="15"/>
      <c r="H19" s="15"/>
    </row>
    <row r="20" customFormat="false" ht="18" hidden="false" customHeight="true" outlineLevel="0" collapsed="false">
      <c r="A20" s="16" t="s">
        <v>16</v>
      </c>
      <c r="B20" s="17" t="n">
        <v>3600000</v>
      </c>
      <c r="C20" s="18"/>
      <c r="D20" s="18"/>
      <c r="E20" s="18"/>
      <c r="F20" s="18"/>
      <c r="G20" s="18"/>
      <c r="H20" s="18"/>
    </row>
    <row r="21" customFormat="false" ht="18" hidden="false" customHeight="true" outlineLevel="0" collapsed="false">
      <c r="A21" s="16" t="s">
        <v>17</v>
      </c>
      <c r="B21" s="17" t="n">
        <v>1200000</v>
      </c>
      <c r="C21" s="18"/>
      <c r="D21" s="18"/>
      <c r="E21" s="18"/>
      <c r="F21" s="18"/>
      <c r="G21" s="18"/>
      <c r="H21" s="18"/>
    </row>
    <row r="22" customFormat="false" ht="18" hidden="false" customHeight="true" outlineLevel="0" collapsed="false">
      <c r="A22" s="16" t="s">
        <v>18</v>
      </c>
      <c r="B22" s="17" t="n">
        <v>8500000</v>
      </c>
      <c r="C22" s="18"/>
      <c r="D22" s="18"/>
      <c r="E22" s="18"/>
      <c r="F22" s="18"/>
      <c r="G22" s="18"/>
      <c r="H22" s="18"/>
    </row>
    <row r="23" customFormat="false" ht="18" hidden="false" customHeight="true" outlineLevel="0" collapsed="false">
      <c r="A23" s="19" t="s">
        <v>19</v>
      </c>
      <c r="B23" s="17" t="n">
        <v>600000</v>
      </c>
      <c r="C23" s="18"/>
      <c r="D23" s="18"/>
      <c r="E23" s="18"/>
      <c r="F23" s="18"/>
      <c r="G23" s="18"/>
      <c r="H23" s="18"/>
    </row>
    <row r="25" customFormat="false" ht="18" hidden="false" customHeight="true" outlineLevel="0" collapsed="false">
      <c r="A25" s="20" t="s">
        <v>20</v>
      </c>
      <c r="B25" s="21" t="n">
        <f aca="false">SUM(B20:B23)</f>
        <v>13900000</v>
      </c>
      <c r="C25" s="22"/>
      <c r="D25" s="22"/>
      <c r="E25" s="22"/>
      <c r="F25" s="22"/>
      <c r="G25" s="22"/>
      <c r="H25" s="22"/>
    </row>
    <row r="27" customFormat="false" ht="21.75" hidden="false" customHeight="true" outlineLevel="0" collapsed="false">
      <c r="A27" s="3" t="s">
        <v>21</v>
      </c>
      <c r="B27" s="3"/>
      <c r="C27" s="3"/>
      <c r="D27" s="3"/>
      <c r="E27" s="3"/>
      <c r="F27" s="3"/>
      <c r="G27" s="3"/>
      <c r="H27" s="3"/>
    </row>
    <row r="28" customFormat="false" ht="19.5" hidden="false" customHeight="true" outlineLevel="0" collapsed="false">
      <c r="A28" s="23" t="s">
        <v>22</v>
      </c>
      <c r="B28" s="24" t="s">
        <v>23</v>
      </c>
      <c r="C28" s="24" t="s">
        <v>24</v>
      </c>
      <c r="D28" s="24" t="s">
        <v>25</v>
      </c>
      <c r="E28" s="24" t="s">
        <v>26</v>
      </c>
      <c r="F28" s="24" t="s">
        <v>27</v>
      </c>
      <c r="G28" s="25"/>
      <c r="H28" s="25"/>
    </row>
    <row r="29" customFormat="false" ht="15.75" hidden="false" customHeight="true" outlineLevel="0" collapsed="false">
      <c r="A29" s="16" t="s">
        <v>28</v>
      </c>
      <c r="B29" s="26" t="n">
        <f aca="false">B25</f>
        <v>13900000</v>
      </c>
      <c r="C29" s="26" t="n">
        <f aca="false">B29*(1+B13)</f>
        <v>15290000</v>
      </c>
      <c r="D29" s="26" t="n">
        <f aca="false">C29*(1+B13)</f>
        <v>16819000</v>
      </c>
      <c r="E29" s="26" t="n">
        <f aca="false">D29*(1+B13)</f>
        <v>18500900</v>
      </c>
      <c r="F29" s="26" t="n">
        <f aca="false">E29*(1+B13)</f>
        <v>20350990</v>
      </c>
      <c r="G29" s="18"/>
      <c r="H29" s="18"/>
    </row>
    <row r="30" customFormat="false" ht="15.75" hidden="false" customHeight="true" outlineLevel="0" collapsed="false">
      <c r="A30" s="27" t="s">
        <v>29</v>
      </c>
      <c r="B30" s="28" t="n">
        <f aca="false">B6</f>
        <v>1800000</v>
      </c>
      <c r="C30" s="28" t="n">
        <f aca="false">B9*(1+B14)^1</f>
        <v>1230000</v>
      </c>
      <c r="D30" s="28" t="n">
        <f aca="false">B9*(1+B14)^2</f>
        <v>1260750</v>
      </c>
      <c r="E30" s="28" t="n">
        <f aca="false">B9*(1+B14)^3</f>
        <v>1292268.75</v>
      </c>
      <c r="F30" s="28" t="n">
        <f aca="false">B9*(1+B14)^4</f>
        <v>1324575.46875</v>
      </c>
      <c r="G30" s="29"/>
      <c r="H30" s="29"/>
    </row>
    <row r="31" customFormat="false" ht="15.75" hidden="false" customHeight="true" outlineLevel="0" collapsed="false">
      <c r="A31" s="27" t="s">
        <v>30</v>
      </c>
      <c r="B31" s="28" t="n">
        <f aca="false">B17</f>
        <v>4500000</v>
      </c>
      <c r="C31" s="28" t="n">
        <f aca="false">B17</f>
        <v>4500000</v>
      </c>
      <c r="D31" s="28" t="n">
        <f aca="false">B17</f>
        <v>4500000</v>
      </c>
      <c r="E31" s="28" t="n">
        <f aca="false">B17</f>
        <v>4500000</v>
      </c>
      <c r="F31" s="28" t="n">
        <f aca="false">B17</f>
        <v>4500000</v>
      </c>
      <c r="G31" s="29"/>
      <c r="H31" s="29"/>
    </row>
    <row r="32" customFormat="false" ht="15.75" hidden="false" customHeight="true" outlineLevel="0" collapsed="false">
      <c r="A32" s="10" t="s">
        <v>31</v>
      </c>
      <c r="B32" s="11" t="n">
        <f aca="false">B29-B30-B31</f>
        <v>7600000</v>
      </c>
      <c r="C32" s="11" t="n">
        <f aca="false">C29-C30-C31</f>
        <v>9560000</v>
      </c>
      <c r="D32" s="11" t="n">
        <f aca="false">D29-D30-D31</f>
        <v>11058250</v>
      </c>
      <c r="E32" s="11" t="n">
        <f aca="false">E29-E30-E31</f>
        <v>12708631.25</v>
      </c>
      <c r="F32" s="11" t="n">
        <f aca="false">F29-F30-F31</f>
        <v>14526414.53125</v>
      </c>
      <c r="G32" s="12"/>
      <c r="H32" s="12"/>
    </row>
    <row r="33" customFormat="false" ht="15.75" hidden="false" customHeight="true" outlineLevel="0" collapsed="false">
      <c r="A33" s="30" t="s">
        <v>32</v>
      </c>
      <c r="B33" s="31" t="n">
        <f aca="false">MAX(0,B32*0.2)</f>
        <v>1520000</v>
      </c>
      <c r="C33" s="31" t="n">
        <f aca="false">MAX(0,C32*0.2)</f>
        <v>1912000</v>
      </c>
      <c r="D33" s="31" t="n">
        <f aca="false">MAX(0,D32*0.2)</f>
        <v>2211650</v>
      </c>
      <c r="E33" s="31" t="n">
        <f aca="false">MAX(0,E32*0.2)</f>
        <v>2541726.25</v>
      </c>
      <c r="F33" s="31" t="n">
        <f aca="false">MAX(0,F32*0.2)</f>
        <v>2905282.90625</v>
      </c>
      <c r="G33" s="32"/>
      <c r="H33" s="32"/>
    </row>
    <row r="34" customFormat="false" ht="15.75" hidden="false" customHeight="true" outlineLevel="0" collapsed="false">
      <c r="A34" s="33" t="s">
        <v>33</v>
      </c>
      <c r="B34" s="34" t="n">
        <f aca="false">B32-B33</f>
        <v>6080000</v>
      </c>
      <c r="C34" s="34" t="n">
        <f aca="false">C32-C33</f>
        <v>7648000</v>
      </c>
      <c r="D34" s="34" t="n">
        <f aca="false">D32-D33</f>
        <v>8846600</v>
      </c>
      <c r="E34" s="34" t="n">
        <f aca="false">E32-E33</f>
        <v>10166905</v>
      </c>
      <c r="F34" s="34" t="n">
        <f aca="false">F32-F33</f>
        <v>11621131.625</v>
      </c>
      <c r="G34" s="35"/>
      <c r="H34" s="35"/>
    </row>
    <row r="35" customFormat="false" ht="15.75" hidden="false" customHeight="true" outlineLevel="0" collapsed="false">
      <c r="A35" s="36" t="s">
        <v>34</v>
      </c>
      <c r="B35" s="37" t="n">
        <f aca="false">B31</f>
        <v>4500000</v>
      </c>
      <c r="C35" s="37" t="n">
        <f aca="false">C31</f>
        <v>4500000</v>
      </c>
      <c r="D35" s="37" t="n">
        <f aca="false">D31</f>
        <v>4500000</v>
      </c>
      <c r="E35" s="37" t="n">
        <f aca="false">E31</f>
        <v>4500000</v>
      </c>
      <c r="F35" s="37" t="n">
        <f aca="false">F31</f>
        <v>4500000</v>
      </c>
      <c r="G35" s="25"/>
      <c r="H35" s="25"/>
    </row>
    <row r="36" customFormat="false" ht="15.75" hidden="false" customHeight="true" outlineLevel="0" collapsed="false">
      <c r="A36" s="30" t="s">
        <v>35</v>
      </c>
      <c r="B36" s="31" t="n">
        <f aca="false">IF(1=1,-B16,0)</f>
        <v>-30100000</v>
      </c>
      <c r="C36" s="31" t="n">
        <f aca="false">IF(2=1,-B16,0)</f>
        <v>0</v>
      </c>
      <c r="D36" s="31" t="n">
        <f aca="false">IF(3=1,-B16,0)</f>
        <v>0</v>
      </c>
      <c r="E36" s="31" t="n">
        <f aca="false">IF(4=1,-B16,0)</f>
        <v>0</v>
      </c>
      <c r="F36" s="31" t="n">
        <f aca="false">IF(5=1,-B16,0)</f>
        <v>0</v>
      </c>
      <c r="G36" s="32"/>
      <c r="H36" s="32"/>
    </row>
    <row r="37" customFormat="false" ht="15.75" hidden="false" customHeight="true" outlineLevel="0" collapsed="false">
      <c r="A37" s="38" t="s">
        <v>36</v>
      </c>
      <c r="B37" s="39" t="n">
        <f aca="false">B34+B35+B36</f>
        <v>-19520000</v>
      </c>
      <c r="C37" s="39" t="n">
        <f aca="false">C34+C35+C36</f>
        <v>12148000</v>
      </c>
      <c r="D37" s="39" t="n">
        <f aca="false">D34+D35+D36</f>
        <v>13346600</v>
      </c>
      <c r="E37" s="39" t="n">
        <f aca="false">E34+E35+E36</f>
        <v>14666905</v>
      </c>
      <c r="F37" s="39" t="n">
        <f aca="false">F34+F35+F36</f>
        <v>16121131.625</v>
      </c>
      <c r="G37" s="40"/>
      <c r="H37" s="40"/>
    </row>
    <row r="38" customFormat="false" ht="15.75" hidden="false" customHeight="true" outlineLevel="0" collapsed="false">
      <c r="A38" s="36" t="s">
        <v>37</v>
      </c>
      <c r="B38" s="41" t="n">
        <f aca="false">1/(1+B12)^1</f>
        <v>0.925925925925926</v>
      </c>
      <c r="C38" s="41" t="n">
        <f aca="false">1/(1+B12)^2</f>
        <v>0.857338820301783</v>
      </c>
      <c r="D38" s="41" t="n">
        <f aca="false">1/(1+B12)^3</f>
        <v>0.79383224102017</v>
      </c>
      <c r="E38" s="41" t="n">
        <f aca="false">1/(1+B12)^4</f>
        <v>0.735029852796453</v>
      </c>
      <c r="F38" s="41" t="n">
        <f aca="false">1/(1+B12)^5</f>
        <v>0.680583197033753</v>
      </c>
      <c r="G38" s="25"/>
      <c r="H38" s="25"/>
    </row>
    <row r="39" customFormat="false" ht="15.75" hidden="false" customHeight="true" outlineLevel="0" collapsed="false">
      <c r="A39" s="10" t="s">
        <v>38</v>
      </c>
      <c r="B39" s="11" t="n">
        <f aca="false">B37*B38</f>
        <v>-18074074.0740741</v>
      </c>
      <c r="C39" s="11" t="n">
        <f aca="false">C37*C38</f>
        <v>10414951.9890261</v>
      </c>
      <c r="D39" s="11" t="n">
        <f aca="false">D37*D38</f>
        <v>10594961.3879998</v>
      </c>
      <c r="E39" s="11" t="n">
        <f aca="false">E37*E38</f>
        <v>10780613.0231296</v>
      </c>
      <c r="F39" s="11" t="n">
        <f aca="false">F37*F38</f>
        <v>10971771.3011444</v>
      </c>
      <c r="G39" s="12"/>
      <c r="H39" s="12"/>
    </row>
    <row r="40" customFormat="false" ht="15.75" hidden="false" customHeight="true" outlineLevel="0" collapsed="false">
      <c r="A40" s="36" t="s">
        <v>39</v>
      </c>
      <c r="B40" s="37" t="n">
        <f aca="false">B37</f>
        <v>-19520000</v>
      </c>
      <c r="C40" s="37" t="n">
        <f aca="false">B40+C37</f>
        <v>-7372000</v>
      </c>
      <c r="D40" s="37" t="n">
        <f aca="false">C40+D37</f>
        <v>5974600.00000001</v>
      </c>
      <c r="E40" s="37" t="n">
        <f aca="false">D40+E37</f>
        <v>20641505</v>
      </c>
      <c r="F40" s="37" t="n">
        <f aca="false">E40+F37</f>
        <v>36762636.625</v>
      </c>
      <c r="G40" s="25"/>
      <c r="H40" s="25"/>
    </row>
    <row r="41" customFormat="false" ht="15.75" hidden="false" customHeight="true" outlineLevel="0" collapsed="false">
      <c r="A41" s="42" t="s">
        <v>40</v>
      </c>
      <c r="B41" s="43" t="n">
        <f aca="false">B39</f>
        <v>-18074074.0740741</v>
      </c>
      <c r="C41" s="43" t="n">
        <f aca="false">B41+C39</f>
        <v>-7659122.08504801</v>
      </c>
      <c r="D41" s="43" t="n">
        <f aca="false">C41+D39</f>
        <v>2935839.30295179</v>
      </c>
      <c r="E41" s="43" t="n">
        <f aca="false">D41+E39</f>
        <v>13716452.3260814</v>
      </c>
      <c r="F41" s="43" t="n">
        <f aca="false">E41+F39</f>
        <v>24688223.6272258</v>
      </c>
      <c r="G41" s="6"/>
      <c r="H41" s="6"/>
    </row>
    <row r="43" customFormat="false" ht="21.75" hidden="false" customHeight="true" outlineLevel="0" collapsed="false">
      <c r="A43" s="15" t="s">
        <v>41</v>
      </c>
      <c r="B43" s="15"/>
      <c r="C43" s="15"/>
      <c r="D43" s="15"/>
      <c r="E43" s="15"/>
      <c r="F43" s="15"/>
      <c r="G43" s="15"/>
      <c r="H43" s="15"/>
    </row>
    <row r="44" customFormat="false" ht="21.75" hidden="false" customHeight="true" outlineLevel="0" collapsed="false">
      <c r="A44" s="44" t="s">
        <v>42</v>
      </c>
      <c r="B44" s="45" t="n">
        <f aca="false">F40</f>
        <v>36762636.625</v>
      </c>
      <c r="C44" s="46" t="s">
        <v>43</v>
      </c>
      <c r="D44" s="46"/>
      <c r="E44" s="46"/>
      <c r="F44" s="46"/>
      <c r="G44" s="46"/>
      <c r="H44" s="46"/>
    </row>
    <row r="45" customFormat="false" ht="21.75" hidden="false" customHeight="true" outlineLevel="0" collapsed="false">
      <c r="A45" s="47" t="s">
        <v>44</v>
      </c>
      <c r="B45" s="45" t="n">
        <f aca="false">F41</f>
        <v>24688223.6272258</v>
      </c>
      <c r="C45" s="48" t="s">
        <v>45</v>
      </c>
      <c r="D45" s="48"/>
      <c r="E45" s="48"/>
      <c r="F45" s="48"/>
      <c r="G45" s="48"/>
      <c r="H45" s="48"/>
    </row>
    <row r="46" customFormat="false" ht="21.75" hidden="false" customHeight="true" outlineLevel="0" collapsed="false">
      <c r="A46" s="47" t="s">
        <v>46</v>
      </c>
      <c r="B46" s="49" t="n">
        <f aca="false">(F40+B16)/B16</f>
        <v>2.22135005398671</v>
      </c>
      <c r="C46" s="48" t="s">
        <v>47</v>
      </c>
      <c r="D46" s="48"/>
      <c r="E46" s="48"/>
      <c r="F46" s="48"/>
      <c r="G46" s="48"/>
      <c r="H46" s="48"/>
    </row>
    <row r="47" customFormat="false" ht="21.75" hidden="false" customHeight="true" outlineLevel="0" collapsed="false">
      <c r="A47" s="47" t="s">
        <v>48</v>
      </c>
      <c r="B47" s="50" t="n">
        <f aca="false">IFERROR(B16/AVERAGE(B37,C37,D37,E37,F37),"N/A")</f>
        <v>4.09383041633238</v>
      </c>
      <c r="C47" s="46" t="s">
        <v>49</v>
      </c>
      <c r="D47" s="46"/>
      <c r="E47" s="46"/>
      <c r="F47" s="46"/>
      <c r="G47" s="46"/>
      <c r="H47" s="46"/>
    </row>
    <row r="48" customFormat="false" ht="21.75" hidden="false" customHeight="true" outlineLevel="0" collapsed="false">
      <c r="A48" s="47" t="s">
        <v>50</v>
      </c>
      <c r="B48" s="51" t="n">
        <f aca="false">IFERROR((F41+B16)/B16,"N/A")</f>
        <v>1.82020676502411</v>
      </c>
      <c r="C48" s="48" t="s">
        <v>51</v>
      </c>
      <c r="D48" s="48"/>
      <c r="E48" s="48"/>
      <c r="F48" s="48"/>
      <c r="G48" s="48"/>
      <c r="H48" s="48"/>
    </row>
    <row r="49" customFormat="false" ht="21.75" hidden="false" customHeight="true" outlineLevel="0" collapsed="false">
      <c r="A49" s="47" t="s">
        <v>52</v>
      </c>
      <c r="B49" s="49" t="n">
        <f aca="false">B34/B16</f>
        <v>0.201993355481728</v>
      </c>
      <c r="C49" s="48" t="s">
        <v>53</v>
      </c>
      <c r="D49" s="48"/>
      <c r="E49" s="48"/>
      <c r="F49" s="48"/>
      <c r="G49" s="48"/>
      <c r="H49" s="48"/>
    </row>
  </sheetData>
  <mergeCells count="12">
    <mergeCell ref="A1:H1"/>
    <mergeCell ref="A2:H2"/>
    <mergeCell ref="A4:H4"/>
    <mergeCell ref="A19:H19"/>
    <mergeCell ref="A27:H27"/>
    <mergeCell ref="A43:H43"/>
    <mergeCell ref="C44:H44"/>
    <mergeCell ref="C45:H45"/>
    <mergeCell ref="C46:H46"/>
    <mergeCell ref="C47:H47"/>
    <mergeCell ref="C48:H48"/>
    <mergeCell ref="C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2026-04-15T00:38:21Z</dcterms:created>
  <dc:creator>openpyxl</dc:creator>
  <dc:description/>
  <dc:language>en-US</dc:language>
  <cp:lastModifiedBy/>
  <dcterms:modified xsi:type="dcterms:W3CDTF">2026-04-15T00:38:21Z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