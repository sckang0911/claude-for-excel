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應收帳款明細" sheetId="1" state="visible" r:id="rId3"/>
    <sheet name="帳齡摘要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<sst xmlns="http://schemas.openxmlformats.org/spreadsheetml/2006/main" count="106" uniqueCount="69">
  <si>
    <r>
      <rPr>
        <b val="true"/>
        <sz val="13"/>
        <color rgb="FFFFFFFF"/>
        <rFont val="DejaVu Sans"/>
        <family val="2"/>
      </rPr>
      <t xml:space="preserve">應收帳款帳齡分析表（</t>
    </r>
    <r>
      <rPr>
        <b val="true"/>
        <sz val="13"/>
        <color rgb="FFFFFFFF"/>
        <rFont val="Arial"/>
        <family val="0"/>
        <charset val="1"/>
      </rPr>
      <t xml:space="preserve">2025</t>
    </r>
    <r>
      <rPr>
        <b val="true"/>
        <sz val="13"/>
        <color rgb="FFFFFFFF"/>
        <rFont val="DejaVu Sans"/>
        <family val="2"/>
      </rPr>
      <t xml:space="preserve">年度）</t>
    </r>
  </si>
  <si>
    <r>
      <rPr>
        <sz val="9"/>
        <color rgb="FF94A3B8"/>
        <rFont val="DejaVu Sans"/>
        <family val="2"/>
      </rPr>
      <t xml:space="preserve">製表日期：</t>
    </r>
    <r>
      <rPr>
        <sz val="9"/>
        <color rgb="FF94A3B8"/>
        <rFont val="Arial"/>
        <family val="0"/>
        <charset val="1"/>
      </rPr>
      <t xml:space="preserve">2025-12-31</t>
    </r>
    <r>
      <rPr>
        <sz val="9"/>
        <color rgb="FF94A3B8"/>
        <rFont val="DejaVu Sans"/>
        <family val="2"/>
      </rPr>
      <t xml:space="preserve">　　部門：財務部　　分析基準：到期日　　單位：新台幣元</t>
    </r>
  </si>
  <si>
    <t xml:space="preserve">客戶代號</t>
  </si>
  <si>
    <t xml:space="preserve">客戶名稱</t>
  </si>
  <si>
    <t xml:space="preserve">業務負責人</t>
  </si>
  <si>
    <t xml:space="preserve">發票日期</t>
  </si>
  <si>
    <t xml:space="preserve">到期日期</t>
  </si>
  <si>
    <t xml:space="preserve">發票金額</t>
  </si>
  <si>
    <t xml:space="preserve">已收金額</t>
  </si>
  <si>
    <t xml:space="preserve">未收餘額</t>
  </si>
  <si>
    <t xml:space="preserve">未到期</t>
  </si>
  <si>
    <r>
      <rPr>
        <b val="true"/>
        <sz val="9"/>
        <color rgb="FF0F172A"/>
        <rFont val="DejaVu Sans"/>
        <family val="2"/>
      </rPr>
      <t xml:space="preserve">逾期</t>
    </r>
    <r>
      <rPr>
        <b val="true"/>
        <sz val="9"/>
        <color rgb="FF0F172A"/>
        <rFont val="Arial"/>
        <family val="0"/>
        <charset val="1"/>
      </rPr>
      <t xml:space="preserve">1-30</t>
    </r>
    <r>
      <rPr>
        <b val="true"/>
        <sz val="9"/>
        <color rgb="FF0F172A"/>
        <rFont val="DejaVu Sans"/>
        <family val="2"/>
      </rPr>
      <t xml:space="preserve">天</t>
    </r>
  </si>
  <si>
    <r>
      <rPr>
        <b val="true"/>
        <sz val="9"/>
        <color rgb="FF0F172A"/>
        <rFont val="DejaVu Sans"/>
        <family val="2"/>
      </rPr>
      <t xml:space="preserve">逾期</t>
    </r>
    <r>
      <rPr>
        <b val="true"/>
        <sz val="9"/>
        <color rgb="FF0F172A"/>
        <rFont val="Arial"/>
        <family val="0"/>
        <charset val="1"/>
      </rPr>
      <t xml:space="preserve">31-60</t>
    </r>
    <r>
      <rPr>
        <b val="true"/>
        <sz val="9"/>
        <color rgb="FF0F172A"/>
        <rFont val="DejaVu Sans"/>
        <family val="2"/>
      </rPr>
      <t xml:space="preserve">天</t>
    </r>
  </si>
  <si>
    <r>
      <rPr>
        <b val="true"/>
        <sz val="9"/>
        <color rgb="FF0F172A"/>
        <rFont val="DejaVu Sans"/>
        <family val="2"/>
      </rPr>
      <t xml:space="preserve">逾期</t>
    </r>
    <r>
      <rPr>
        <b val="true"/>
        <sz val="9"/>
        <color rgb="FF0F172A"/>
        <rFont val="Arial"/>
        <family val="0"/>
        <charset val="1"/>
      </rPr>
      <t xml:space="preserve">61-90</t>
    </r>
    <r>
      <rPr>
        <b val="true"/>
        <sz val="9"/>
        <color rgb="FF0F172A"/>
        <rFont val="DejaVu Sans"/>
        <family val="2"/>
      </rPr>
      <t xml:space="preserve">天</t>
    </r>
  </si>
  <si>
    <r>
      <rPr>
        <b val="true"/>
        <sz val="9"/>
        <color rgb="FF0F172A"/>
        <rFont val="DejaVu Sans"/>
        <family val="2"/>
      </rPr>
      <t xml:space="preserve">逾期</t>
    </r>
    <r>
      <rPr>
        <b val="true"/>
        <sz val="9"/>
        <color rgb="FF0F172A"/>
        <rFont val="Arial"/>
        <family val="0"/>
        <charset val="1"/>
      </rPr>
      <t xml:space="preserve">91-120</t>
    </r>
    <r>
      <rPr>
        <b val="true"/>
        <sz val="9"/>
        <color rgb="FF0F172A"/>
        <rFont val="DejaVu Sans"/>
        <family val="2"/>
      </rPr>
      <t xml:space="preserve">天</t>
    </r>
  </si>
  <si>
    <r>
      <rPr>
        <b val="true"/>
        <sz val="9"/>
        <color rgb="FF0F172A"/>
        <rFont val="DejaVu Sans"/>
        <family val="2"/>
      </rPr>
      <t xml:space="preserve">逾期</t>
    </r>
    <r>
      <rPr>
        <b val="true"/>
        <sz val="9"/>
        <color rgb="FF0F172A"/>
        <rFont val="Arial"/>
        <family val="0"/>
        <charset val="1"/>
      </rPr>
      <t xml:space="preserve">&gt;120</t>
    </r>
    <r>
      <rPr>
        <b val="true"/>
        <sz val="9"/>
        <color rgb="FF0F172A"/>
        <rFont val="DejaVu Sans"/>
        <family val="2"/>
      </rPr>
      <t xml:space="preserve">天</t>
    </r>
  </si>
  <si>
    <t xml:space="preserve">C001</t>
  </si>
  <si>
    <t xml:space="preserve">台灣醫療器材股份有限公司</t>
  </si>
  <si>
    <t xml:space="preserve">王志明</t>
  </si>
  <si>
    <t xml:space="preserve">C002</t>
  </si>
  <si>
    <t xml:space="preserve">聯合健康照護集團</t>
  </si>
  <si>
    <t xml:space="preserve">李美玲</t>
  </si>
  <si>
    <t xml:space="preserve">C003</t>
  </si>
  <si>
    <t xml:space="preserve">長庚醫療財團法人</t>
  </si>
  <si>
    <t xml:space="preserve">陳建宏</t>
  </si>
  <si>
    <t xml:space="preserve">C004</t>
  </si>
  <si>
    <t xml:space="preserve">新北市立醫院</t>
  </si>
  <si>
    <t xml:space="preserve">林淑芬</t>
  </si>
  <si>
    <t xml:space="preserve">C005</t>
  </si>
  <si>
    <t xml:space="preserve">台中榮民總醫院</t>
  </si>
  <si>
    <t xml:space="preserve">黃明德</t>
  </si>
  <si>
    <t xml:space="preserve">C006</t>
  </si>
  <si>
    <t xml:space="preserve">高雄醫學大學附設醫院</t>
  </si>
  <si>
    <t xml:space="preserve">張雅婷</t>
  </si>
  <si>
    <t xml:space="preserve">C007</t>
  </si>
  <si>
    <t xml:space="preserve">馬偕紀念醫院</t>
  </si>
  <si>
    <t xml:space="preserve">吳俊賢</t>
  </si>
  <si>
    <t xml:space="preserve">C008</t>
  </si>
  <si>
    <t xml:space="preserve">彰化基督教醫院</t>
  </si>
  <si>
    <t xml:space="preserve">劉佳琪</t>
  </si>
  <si>
    <t xml:space="preserve">C009</t>
  </si>
  <si>
    <t xml:space="preserve">秀傳醫療社團法人</t>
  </si>
  <si>
    <t xml:space="preserve">許志豪</t>
  </si>
  <si>
    <t xml:space="preserve">C010</t>
  </si>
  <si>
    <t xml:space="preserve">義大醫療財團法人</t>
  </si>
  <si>
    <t xml:space="preserve">鄭怡君</t>
  </si>
  <si>
    <t xml:space="preserve">C011</t>
  </si>
  <si>
    <t xml:space="preserve">亞東紀念醫院</t>
  </si>
  <si>
    <t xml:space="preserve">周信宏</t>
  </si>
  <si>
    <t xml:space="preserve">C012</t>
  </si>
  <si>
    <t xml:space="preserve">新光吳火獅紀念醫院</t>
  </si>
  <si>
    <t xml:space="preserve">蔡麗華</t>
  </si>
  <si>
    <t xml:space="preserve">合　計</t>
  </si>
  <si>
    <t xml:space="preserve">應收帳款帳齡摘要</t>
  </si>
  <si>
    <t xml:space="preserve">帳齡區間</t>
  </si>
  <si>
    <t xml:space="preserve">未收金額</t>
  </si>
  <si>
    <r>
      <rPr>
        <b val="true"/>
        <sz val="9"/>
        <color rgb="FF0F172A"/>
        <rFont val="DejaVu Sans"/>
        <family val="2"/>
      </rPr>
      <t xml:space="preserve">佔比 </t>
    </r>
    <r>
      <rPr>
        <b val="true"/>
        <sz val="9"/>
        <color rgb="FF0F172A"/>
        <rFont val="Arial"/>
        <family val="0"/>
        <charset val="1"/>
      </rPr>
      <t xml:space="preserve">(%)</t>
    </r>
  </si>
  <si>
    <t xml:space="preserve">風險等級</t>
  </si>
  <si>
    <t xml:space="preserve">低</t>
  </si>
  <si>
    <r>
      <rPr>
        <sz val="9"/>
        <color rgb="FF0F172A"/>
        <rFont val="DejaVu Sans"/>
        <family val="2"/>
      </rPr>
      <t xml:space="preserve">逾期</t>
    </r>
    <r>
      <rPr>
        <sz val="9"/>
        <color rgb="FF0F172A"/>
        <rFont val="Arial"/>
        <family val="0"/>
        <charset val="1"/>
      </rPr>
      <t xml:space="preserve">1-30</t>
    </r>
    <r>
      <rPr>
        <sz val="9"/>
        <color rgb="FF0F172A"/>
        <rFont val="DejaVu Sans"/>
        <family val="2"/>
      </rPr>
      <t xml:space="preserve">天</t>
    </r>
  </si>
  <si>
    <r>
      <rPr>
        <sz val="9"/>
        <color rgb="FF0F172A"/>
        <rFont val="DejaVu Sans"/>
        <family val="2"/>
      </rPr>
      <t xml:space="preserve">逾期</t>
    </r>
    <r>
      <rPr>
        <sz val="9"/>
        <color rgb="FF0F172A"/>
        <rFont val="Arial"/>
        <family val="0"/>
        <charset val="1"/>
      </rPr>
      <t xml:space="preserve">31-60</t>
    </r>
    <r>
      <rPr>
        <sz val="9"/>
        <color rgb="FF0F172A"/>
        <rFont val="DejaVu Sans"/>
        <family val="2"/>
      </rPr>
      <t xml:space="preserve">天</t>
    </r>
  </si>
  <si>
    <t xml:space="preserve">中</t>
  </si>
  <si>
    <r>
      <rPr>
        <sz val="9"/>
        <color rgb="FF0F172A"/>
        <rFont val="DejaVu Sans"/>
        <family val="2"/>
      </rPr>
      <t xml:space="preserve">逾期</t>
    </r>
    <r>
      <rPr>
        <sz val="9"/>
        <color rgb="FF0F172A"/>
        <rFont val="Arial"/>
        <family val="0"/>
        <charset val="1"/>
      </rPr>
      <t xml:space="preserve">61-90</t>
    </r>
    <r>
      <rPr>
        <sz val="9"/>
        <color rgb="FF0F172A"/>
        <rFont val="DejaVu Sans"/>
        <family val="2"/>
      </rPr>
      <t xml:space="preserve">天</t>
    </r>
  </si>
  <si>
    <r>
      <rPr>
        <sz val="9"/>
        <color rgb="FF0F172A"/>
        <rFont val="DejaVu Sans"/>
        <family val="2"/>
      </rPr>
      <t xml:space="preserve">逾期</t>
    </r>
    <r>
      <rPr>
        <sz val="9"/>
        <color rgb="FF0F172A"/>
        <rFont val="Arial"/>
        <family val="0"/>
        <charset val="1"/>
      </rPr>
      <t xml:space="preserve">91-120</t>
    </r>
    <r>
      <rPr>
        <sz val="9"/>
        <color rgb="FF0F172A"/>
        <rFont val="DejaVu Sans"/>
        <family val="2"/>
      </rPr>
      <t xml:space="preserve">天</t>
    </r>
  </si>
  <si>
    <t xml:space="preserve">高</t>
  </si>
  <si>
    <r>
      <rPr>
        <sz val="9"/>
        <color rgb="FFFFFFFF"/>
        <rFont val="DejaVu Sans"/>
        <family val="2"/>
      </rPr>
      <t xml:space="preserve">逾期</t>
    </r>
    <r>
      <rPr>
        <sz val="9"/>
        <color rgb="FFFFFFFF"/>
        <rFont val="Arial"/>
        <family val="0"/>
        <charset val="1"/>
      </rPr>
      <t xml:space="preserve">&gt;120</t>
    </r>
    <r>
      <rPr>
        <sz val="9"/>
        <color rgb="FFFFFFFF"/>
        <rFont val="DejaVu Sans"/>
        <family val="2"/>
      </rPr>
      <t xml:space="preserve">天</t>
    </r>
  </si>
  <si>
    <t xml:space="preserve">極高</t>
  </si>
  <si>
    <t xml:space="preserve">—</t>
  </si>
  <si>
    <r>
      <rPr>
        <i val="true"/>
        <sz val="8"/>
        <color rgb="FF64748B"/>
        <rFont val="DejaVu Sans"/>
        <family val="2"/>
      </rPr>
      <t xml:space="preserve">※ 逾期</t>
    </r>
    <r>
      <rPr>
        <i val="true"/>
        <sz val="8"/>
        <color rgb="FF64748B"/>
        <rFont val="Arial"/>
        <family val="0"/>
        <charset val="1"/>
      </rPr>
      <t xml:space="preserve">90</t>
    </r>
    <r>
      <rPr>
        <i val="true"/>
        <sz val="8"/>
        <color rgb="FF64748B"/>
        <rFont val="DejaVu Sans"/>
        <family val="2"/>
      </rPr>
      <t xml:space="preserve">天以上帳款建議啟動催收程序；逾期</t>
    </r>
    <r>
      <rPr>
        <i val="true"/>
        <sz val="8"/>
        <color rgb="FF64748B"/>
        <rFont val="Arial"/>
        <family val="0"/>
        <charset val="1"/>
      </rPr>
      <t xml:space="preserve">120</t>
    </r>
    <r>
      <rPr>
        <i val="true"/>
        <sz val="8"/>
        <color rgb="FF64748B"/>
        <rFont val="DejaVu Sans"/>
        <family val="2"/>
      </rPr>
      <t xml:space="preserve">天以上建議提列呆帳準備金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</si>
</sst>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;\(#,##0\);\-"/>
    <numFmt numFmtId="167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DejaVu Sans"/>
      <family val="2"/>
    </font>
    <font>
      <b val="true"/>
      <sz val="13"/>
      <color rgb="FFFFFFFF"/>
      <name val="Arial"/>
      <family val="0"/>
      <charset val="1"/>
    </font>
    <font>
      <sz val="9"/>
      <color rgb="FF94A3B8"/>
      <name val="DejaVu Sans"/>
      <family val="2"/>
    </font>
    <font>
      <sz val="9"/>
      <color rgb="FF94A3B8"/>
      <name val="Arial"/>
      <family val="0"/>
      <charset val="1"/>
    </font>
    <font>
      <b val="true"/>
      <sz val="9"/>
      <color rgb="FF0F172A"/>
      <name val="DejaVu Sans"/>
      <family val="2"/>
    </font>
    <font>
      <b val="true"/>
      <sz val="9"/>
      <color rgb="FF0F172A"/>
      <name val="Arial"/>
      <family val="0"/>
      <charset val="1"/>
    </font>
    <font>
      <sz val="9"/>
      <color rgb="FF0F172A"/>
      <name val="Arial"/>
      <family val="0"/>
      <charset val="1"/>
    </font>
    <font>
      <sz val="9"/>
      <color rgb="FF0F172A"/>
      <name val="DejaVu Sans"/>
      <family val="2"/>
    </font>
    <font>
      <b val="true"/>
      <sz val="9"/>
      <name val="DejaVu Sans"/>
      <family val="2"/>
    </font>
    <font>
      <b val="true"/>
      <sz val="12"/>
      <color rgb="FFFFFFFF"/>
      <name val="DejaVu Sans"/>
      <family val="2"/>
    </font>
    <font>
      <sz val="9"/>
      <color rgb="FFFFFFFF"/>
      <name val="DejaVu Sans"/>
      <family val="2"/>
    </font>
    <font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color rgb="FF64748B"/>
      <name val="DejaVu Sans"/>
      <family val="2"/>
    </font>
    <font>
      <i val="true"/>
      <sz val="8"/>
      <color rgb="FF64748B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F172A"/>
        <bgColor rgb="FF1E293B"/>
      </patternFill>
    </fill>
    <fill>
      <patternFill patternType="solid">
        <fgColor rgb="FF1E293B"/>
        <bgColor rgb="FF0F172A"/>
      </patternFill>
    </fill>
    <fill>
      <patternFill patternType="solid">
        <fgColor rgb="FF00C8B4"/>
        <bgColor rgb="FF33CCCC"/>
      </patternFill>
    </fill>
    <fill>
      <patternFill patternType="solid">
        <fgColor rgb="FFFEF9C3"/>
        <bgColor rgb="FFFFFBEB"/>
      </patternFill>
    </fill>
    <fill>
      <patternFill patternType="solid">
        <fgColor rgb="FFF0FDF4"/>
        <bgColor rgb="FFFFFBEB"/>
      </patternFill>
    </fill>
    <fill>
      <patternFill patternType="solid">
        <fgColor rgb="FFFFFFFF"/>
        <bgColor rgb="FFFFFBEB"/>
      </patternFill>
    </fill>
    <fill>
      <patternFill patternType="solid">
        <fgColor rgb="FFFECACA"/>
        <bgColor rgb="FFFED7AA"/>
      </patternFill>
    </fill>
    <fill>
      <patternFill patternType="solid">
        <fgColor rgb="FFFEE2E2"/>
        <bgColor rgb="FFE2E8F0"/>
      </patternFill>
    </fill>
    <fill>
      <patternFill patternType="solid">
        <fgColor rgb="FFFED7AA"/>
        <bgColor rgb="FFFECACA"/>
      </patternFill>
    </fill>
    <fill>
      <patternFill patternType="solid">
        <fgColor rgb="FFCBD5E1"/>
        <bgColor rgb="FFE2E8F0"/>
      </patternFill>
    </fill>
    <fill>
      <patternFill patternType="solid">
        <fgColor rgb="FFE0FAF8"/>
        <bgColor rgb="FFF0FDF4"/>
      </patternFill>
    </fill>
    <fill>
      <patternFill patternType="solid">
        <fgColor rgb="FFFFFBEB"/>
        <bgColor rgb="FFFFFFFF"/>
      </patternFill>
    </fill>
    <fill>
      <patternFill patternType="solid">
        <fgColor rgb="FF991B1B"/>
        <bgColor rgb="FF80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/>
      <top style="thin">
        <color rgb="FFE2E8F0"/>
      </top>
      <bottom style="thin">
        <color rgb="FFE2E8F0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ECACA"/>
      <rgbColor rgb="FF808080"/>
      <rgbColor rgb="FF9999FF"/>
      <rgbColor rgb="FF993366"/>
      <rgbColor rgb="FFFEF9C3"/>
      <rgbColor rgb="FFE0FAF8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8B4"/>
      <rgbColor rgb="FFF0FDF4"/>
      <rgbColor rgb="FFE2E8F0"/>
      <rgbColor rgb="FFFFFBEB"/>
      <rgbColor rgb="FF99CCFF"/>
      <rgbColor rgb="FFFEE2E2"/>
      <rgbColor rgb="FFCC99FF"/>
      <rgbColor rgb="FFFED7AA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003366"/>
      <rgbColor rgb="FF339966"/>
      <rgbColor rgb="FF0F172A"/>
      <rgbColor rgb="FF333300"/>
      <rgbColor rgb="FF991B1B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8" min="6" style="0" width="14"/>
    <col collapsed="false" customWidth="true" hidden="false" outlineLevel="0" max="9" min="9" style="0" width="12"/>
    <col collapsed="false" customWidth="true" hidden="false" outlineLevel="0" max="14" min="10" style="0" width="11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</row>
    <row r="4" customFormat="false" ht="15.75" hidden="false" customHeight="true" outlineLevel="0" collapsed="false">
      <c r="A4" s="4" t="s">
        <v>16</v>
      </c>
      <c r="B4" s="5" t="s">
        <v>17</v>
      </c>
      <c r="C4" s="5" t="s">
        <v>18</v>
      </c>
      <c r="D4" s="6" t="n">
        <v>45962</v>
      </c>
      <c r="E4" s="6" t="n">
        <v>46022</v>
      </c>
      <c r="F4" s="7" t="n">
        <v>1250000</v>
      </c>
      <c r="G4" s="7" t="n">
        <v>0</v>
      </c>
      <c r="H4" s="7" t="n">
        <v>1250000</v>
      </c>
      <c r="I4" s="7" t="n">
        <v>0</v>
      </c>
      <c r="J4" s="7" t="n">
        <v>1250000</v>
      </c>
      <c r="K4" s="7" t="n">
        <v>0</v>
      </c>
      <c r="L4" s="7" t="n">
        <v>0</v>
      </c>
      <c r="M4" s="7" t="n">
        <v>0</v>
      </c>
      <c r="N4" s="7" t="n">
        <v>0</v>
      </c>
    </row>
    <row r="5" customFormat="false" ht="15.75" hidden="false" customHeight="true" outlineLevel="0" collapsed="false">
      <c r="A5" s="8" t="s">
        <v>16</v>
      </c>
      <c r="B5" s="9" t="s">
        <v>17</v>
      </c>
      <c r="C5" s="9" t="s">
        <v>18</v>
      </c>
      <c r="D5" s="10" t="n">
        <v>45945</v>
      </c>
      <c r="E5" s="10" t="n">
        <v>45975</v>
      </c>
      <c r="F5" s="11" t="n">
        <v>780000</v>
      </c>
      <c r="G5" s="11" t="n">
        <v>780000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</row>
    <row r="6" customFormat="false" ht="15.75" hidden="false" customHeight="true" outlineLevel="0" collapsed="false">
      <c r="A6" s="12" t="s">
        <v>19</v>
      </c>
      <c r="B6" s="13" t="s">
        <v>20</v>
      </c>
      <c r="C6" s="13" t="s">
        <v>21</v>
      </c>
      <c r="D6" s="14" t="n">
        <v>45992</v>
      </c>
      <c r="E6" s="14" t="n">
        <v>46052</v>
      </c>
      <c r="F6" s="15" t="n">
        <v>2340000</v>
      </c>
      <c r="G6" s="15" t="n">
        <v>0</v>
      </c>
      <c r="H6" s="15" t="n">
        <v>2340000</v>
      </c>
      <c r="I6" s="15" t="n">
        <v>2340000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</row>
    <row r="7" customFormat="false" ht="15.75" hidden="false" customHeight="true" outlineLevel="0" collapsed="false">
      <c r="A7" s="4" t="s">
        <v>19</v>
      </c>
      <c r="B7" s="5" t="s">
        <v>20</v>
      </c>
      <c r="C7" s="5" t="s">
        <v>21</v>
      </c>
      <c r="D7" s="6" t="n">
        <v>45962</v>
      </c>
      <c r="E7" s="6" t="n">
        <v>46022</v>
      </c>
      <c r="F7" s="7" t="n">
        <v>1560000</v>
      </c>
      <c r="G7" s="7" t="n">
        <v>800000</v>
      </c>
      <c r="H7" s="7" t="n">
        <v>760000</v>
      </c>
      <c r="I7" s="7" t="n">
        <v>0</v>
      </c>
      <c r="J7" s="7" t="n">
        <v>760000</v>
      </c>
      <c r="K7" s="7" t="n">
        <v>0</v>
      </c>
      <c r="L7" s="7" t="n">
        <v>0</v>
      </c>
      <c r="M7" s="7" t="n">
        <v>0</v>
      </c>
      <c r="N7" s="7" t="n">
        <v>0</v>
      </c>
    </row>
    <row r="8" customFormat="false" ht="15.75" hidden="false" customHeight="true" outlineLevel="0" collapsed="false">
      <c r="A8" s="16" t="s">
        <v>19</v>
      </c>
      <c r="B8" s="17" t="s">
        <v>20</v>
      </c>
      <c r="C8" s="17" t="s">
        <v>21</v>
      </c>
      <c r="D8" s="18" t="n">
        <v>45915</v>
      </c>
      <c r="E8" s="18" t="n">
        <v>45945</v>
      </c>
      <c r="F8" s="19" t="n">
        <v>980000</v>
      </c>
      <c r="G8" s="19" t="n">
        <v>0</v>
      </c>
      <c r="H8" s="19" t="n">
        <v>980000</v>
      </c>
      <c r="I8" s="19" t="n">
        <v>0</v>
      </c>
      <c r="J8" s="19" t="n">
        <v>0</v>
      </c>
      <c r="K8" s="19" t="n">
        <v>0</v>
      </c>
      <c r="L8" s="19" t="n">
        <v>980000</v>
      </c>
      <c r="M8" s="19" t="n">
        <v>0</v>
      </c>
      <c r="N8" s="19" t="n">
        <v>0</v>
      </c>
    </row>
    <row r="9" customFormat="false" ht="15.75" hidden="false" customHeight="true" outlineLevel="0" collapsed="false">
      <c r="A9" s="12" t="s">
        <v>22</v>
      </c>
      <c r="B9" s="13" t="s">
        <v>23</v>
      </c>
      <c r="C9" s="13" t="s">
        <v>24</v>
      </c>
      <c r="D9" s="14" t="n">
        <v>46006</v>
      </c>
      <c r="E9" s="14" t="n">
        <v>46066</v>
      </c>
      <c r="F9" s="15" t="n">
        <v>3450000</v>
      </c>
      <c r="G9" s="15" t="n">
        <v>0</v>
      </c>
      <c r="H9" s="15" t="n">
        <v>3450000</v>
      </c>
      <c r="I9" s="15" t="n">
        <v>3450000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</row>
    <row r="10" customFormat="false" ht="15.75" hidden="false" customHeight="true" outlineLevel="0" collapsed="false">
      <c r="A10" s="8" t="s">
        <v>22</v>
      </c>
      <c r="B10" s="9" t="s">
        <v>23</v>
      </c>
      <c r="C10" s="9" t="s">
        <v>24</v>
      </c>
      <c r="D10" s="10" t="n">
        <v>45976</v>
      </c>
      <c r="E10" s="10" t="n">
        <v>46036</v>
      </c>
      <c r="F10" s="11" t="n">
        <v>2100000</v>
      </c>
      <c r="G10" s="11" t="n">
        <v>2100000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</row>
    <row r="11" customFormat="false" ht="15.75" hidden="false" customHeight="true" outlineLevel="0" collapsed="false">
      <c r="A11" s="12" t="s">
        <v>25</v>
      </c>
      <c r="B11" s="13" t="s">
        <v>26</v>
      </c>
      <c r="C11" s="13" t="s">
        <v>27</v>
      </c>
      <c r="D11" s="14" t="n">
        <v>46001</v>
      </c>
      <c r="E11" s="14" t="n">
        <v>46031</v>
      </c>
      <c r="F11" s="15" t="n">
        <v>890000</v>
      </c>
      <c r="G11" s="15" t="n">
        <v>0</v>
      </c>
      <c r="H11" s="15" t="n">
        <v>890000</v>
      </c>
      <c r="I11" s="15" t="n">
        <v>890000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</row>
    <row r="12" customFormat="false" ht="15.75" hidden="false" customHeight="true" outlineLevel="0" collapsed="false">
      <c r="A12" s="16" t="s">
        <v>25</v>
      </c>
      <c r="B12" s="17" t="s">
        <v>26</v>
      </c>
      <c r="C12" s="17" t="s">
        <v>27</v>
      </c>
      <c r="D12" s="18" t="n">
        <v>45931</v>
      </c>
      <c r="E12" s="18" t="n">
        <v>45961</v>
      </c>
      <c r="F12" s="19" t="n">
        <v>1230000</v>
      </c>
      <c r="G12" s="19" t="n">
        <v>0</v>
      </c>
      <c r="H12" s="19" t="n">
        <v>1230000</v>
      </c>
      <c r="I12" s="19" t="n">
        <v>0</v>
      </c>
      <c r="J12" s="19" t="n">
        <v>0</v>
      </c>
      <c r="K12" s="19" t="n">
        <v>0</v>
      </c>
      <c r="L12" s="19" t="n">
        <v>1230000</v>
      </c>
      <c r="M12" s="19" t="n">
        <v>0</v>
      </c>
      <c r="N12" s="19" t="n">
        <v>0</v>
      </c>
    </row>
    <row r="13" customFormat="false" ht="15.75" hidden="false" customHeight="true" outlineLevel="0" collapsed="false">
      <c r="A13" s="12" t="s">
        <v>28</v>
      </c>
      <c r="B13" s="13" t="s">
        <v>29</v>
      </c>
      <c r="C13" s="13" t="s">
        <v>30</v>
      </c>
      <c r="D13" s="14" t="n">
        <v>45996</v>
      </c>
      <c r="E13" s="14" t="n">
        <v>46056</v>
      </c>
      <c r="F13" s="15" t="n">
        <v>4560000</v>
      </c>
      <c r="G13" s="15" t="n">
        <v>0</v>
      </c>
      <c r="H13" s="15" t="n">
        <v>4560000</v>
      </c>
      <c r="I13" s="15" t="n">
        <v>4560000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</row>
    <row r="14" customFormat="false" ht="15.75" hidden="false" customHeight="true" outlineLevel="0" collapsed="false">
      <c r="A14" s="8" t="s">
        <v>28</v>
      </c>
      <c r="B14" s="9" t="s">
        <v>29</v>
      </c>
      <c r="C14" s="9" t="s">
        <v>30</v>
      </c>
      <c r="D14" s="10" t="n">
        <v>45966</v>
      </c>
      <c r="E14" s="10" t="n">
        <v>45996</v>
      </c>
      <c r="F14" s="11" t="n">
        <v>2890000</v>
      </c>
      <c r="G14" s="11" t="n">
        <v>2890000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</row>
    <row r="15" customFormat="false" ht="15.75" hidden="false" customHeight="true" outlineLevel="0" collapsed="false">
      <c r="A15" s="12" t="s">
        <v>31</v>
      </c>
      <c r="B15" s="13" t="s">
        <v>32</v>
      </c>
      <c r="C15" s="13" t="s">
        <v>33</v>
      </c>
      <c r="D15" s="14" t="n">
        <v>45981</v>
      </c>
      <c r="E15" s="14" t="n">
        <v>46041</v>
      </c>
      <c r="F15" s="15" t="n">
        <v>1780000</v>
      </c>
      <c r="G15" s="15" t="n">
        <v>890000</v>
      </c>
      <c r="H15" s="15" t="n">
        <v>890000</v>
      </c>
      <c r="I15" s="15" t="n">
        <v>890000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</row>
    <row r="16" customFormat="false" ht="15.75" hidden="false" customHeight="true" outlineLevel="0" collapsed="false">
      <c r="A16" s="20" t="s">
        <v>31</v>
      </c>
      <c r="B16" s="21" t="s">
        <v>32</v>
      </c>
      <c r="C16" s="21" t="s">
        <v>33</v>
      </c>
      <c r="D16" s="22" t="n">
        <v>45901</v>
      </c>
      <c r="E16" s="22" t="n">
        <v>45930</v>
      </c>
      <c r="F16" s="23" t="n">
        <v>670000</v>
      </c>
      <c r="G16" s="23" t="n">
        <v>0</v>
      </c>
      <c r="H16" s="23" t="n">
        <v>670000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670000</v>
      </c>
      <c r="N16" s="23" t="n">
        <v>0</v>
      </c>
    </row>
    <row r="17" customFormat="false" ht="15.75" hidden="false" customHeight="true" outlineLevel="0" collapsed="false">
      <c r="A17" s="12" t="s">
        <v>34</v>
      </c>
      <c r="B17" s="13" t="s">
        <v>35</v>
      </c>
      <c r="C17" s="13" t="s">
        <v>36</v>
      </c>
      <c r="D17" s="14" t="n">
        <v>46011</v>
      </c>
      <c r="E17" s="14" t="n">
        <v>46071</v>
      </c>
      <c r="F17" s="15" t="n">
        <v>2230000</v>
      </c>
      <c r="G17" s="15" t="n">
        <v>0</v>
      </c>
      <c r="H17" s="15" t="n">
        <v>2230000</v>
      </c>
      <c r="I17" s="15" t="n">
        <v>2230000</v>
      </c>
      <c r="J17" s="15" t="n">
        <v>0</v>
      </c>
      <c r="K17" s="15" t="n">
        <v>0</v>
      </c>
      <c r="L17" s="15" t="n">
        <v>0</v>
      </c>
      <c r="M17" s="15" t="n">
        <v>0</v>
      </c>
      <c r="N17" s="15" t="n">
        <v>0</v>
      </c>
    </row>
    <row r="18" customFormat="false" ht="15.75" hidden="false" customHeight="true" outlineLevel="0" collapsed="false">
      <c r="A18" s="24" t="s">
        <v>37</v>
      </c>
      <c r="B18" s="25" t="s">
        <v>38</v>
      </c>
      <c r="C18" s="25" t="s">
        <v>39</v>
      </c>
      <c r="D18" s="26" t="n">
        <v>45940</v>
      </c>
      <c r="E18" s="26" t="n">
        <v>45970</v>
      </c>
      <c r="F18" s="27" t="n">
        <v>1450000</v>
      </c>
      <c r="G18" s="27" t="n">
        <v>0</v>
      </c>
      <c r="H18" s="27" t="n">
        <v>1450000</v>
      </c>
      <c r="I18" s="27" t="n">
        <v>0</v>
      </c>
      <c r="J18" s="27" t="n">
        <v>0</v>
      </c>
      <c r="K18" s="27" t="n">
        <v>1450000</v>
      </c>
      <c r="L18" s="27" t="n">
        <v>0</v>
      </c>
      <c r="M18" s="27" t="n">
        <v>0</v>
      </c>
      <c r="N18" s="27" t="n">
        <v>0</v>
      </c>
    </row>
    <row r="19" customFormat="false" ht="15.75" hidden="false" customHeight="true" outlineLevel="0" collapsed="false">
      <c r="A19" s="20" t="s">
        <v>37</v>
      </c>
      <c r="B19" s="21" t="s">
        <v>38</v>
      </c>
      <c r="C19" s="21" t="s">
        <v>39</v>
      </c>
      <c r="D19" s="22" t="n">
        <v>45884</v>
      </c>
      <c r="E19" s="22" t="n">
        <v>45914</v>
      </c>
      <c r="F19" s="23" t="n">
        <v>890000</v>
      </c>
      <c r="G19" s="23" t="n">
        <v>0</v>
      </c>
      <c r="H19" s="23" t="n">
        <v>890000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890000</v>
      </c>
      <c r="N19" s="23" t="n">
        <v>0</v>
      </c>
    </row>
    <row r="20" customFormat="false" ht="15.75" hidden="false" customHeight="true" outlineLevel="0" collapsed="false">
      <c r="A20" s="8" t="s">
        <v>40</v>
      </c>
      <c r="B20" s="9" t="s">
        <v>41</v>
      </c>
      <c r="C20" s="9" t="s">
        <v>42</v>
      </c>
      <c r="D20" s="10" t="n">
        <v>45999</v>
      </c>
      <c r="E20" s="10" t="n">
        <v>46029</v>
      </c>
      <c r="F20" s="11" t="n">
        <v>760000</v>
      </c>
      <c r="G20" s="11" t="n">
        <v>760000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</row>
    <row r="21" customFormat="false" ht="15.75" hidden="false" customHeight="true" outlineLevel="0" collapsed="false">
      <c r="A21" s="4" t="s">
        <v>40</v>
      </c>
      <c r="B21" s="5" t="s">
        <v>41</v>
      </c>
      <c r="C21" s="5" t="s">
        <v>42</v>
      </c>
      <c r="D21" s="6" t="n">
        <v>45969</v>
      </c>
      <c r="E21" s="6" t="n">
        <v>45999</v>
      </c>
      <c r="F21" s="7" t="n">
        <v>540000</v>
      </c>
      <c r="G21" s="7" t="n">
        <v>0</v>
      </c>
      <c r="H21" s="7" t="n">
        <v>540000</v>
      </c>
      <c r="I21" s="7" t="n">
        <v>0</v>
      </c>
      <c r="J21" s="7" t="n">
        <v>540000</v>
      </c>
      <c r="K21" s="7" t="n">
        <v>0</v>
      </c>
      <c r="L21" s="7" t="n">
        <v>0</v>
      </c>
      <c r="M21" s="7" t="n">
        <v>0</v>
      </c>
      <c r="N21" s="7" t="n">
        <v>0</v>
      </c>
    </row>
    <row r="22" customFormat="false" ht="15.75" hidden="false" customHeight="true" outlineLevel="0" collapsed="false">
      <c r="A22" s="12" t="s">
        <v>43</v>
      </c>
      <c r="B22" s="13" t="s">
        <v>44</v>
      </c>
      <c r="C22" s="13" t="s">
        <v>45</v>
      </c>
      <c r="D22" s="14" t="n">
        <v>46009</v>
      </c>
      <c r="E22" s="14" t="n">
        <v>46069</v>
      </c>
      <c r="F22" s="15" t="n">
        <v>3120000</v>
      </c>
      <c r="G22" s="15" t="n">
        <v>0</v>
      </c>
      <c r="H22" s="15" t="n">
        <v>3120000</v>
      </c>
      <c r="I22" s="15" t="n">
        <v>3120000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</row>
    <row r="23" customFormat="false" ht="15.75" hidden="false" customHeight="true" outlineLevel="0" collapsed="false">
      <c r="A23" s="24" t="s">
        <v>43</v>
      </c>
      <c r="B23" s="25" t="s">
        <v>44</v>
      </c>
      <c r="C23" s="25" t="s">
        <v>45</v>
      </c>
      <c r="D23" s="26" t="n">
        <v>45935</v>
      </c>
      <c r="E23" s="26" t="n">
        <v>45965</v>
      </c>
      <c r="F23" s="27" t="n">
        <v>1870000</v>
      </c>
      <c r="G23" s="27" t="n">
        <v>0</v>
      </c>
      <c r="H23" s="27" t="n">
        <v>1870000</v>
      </c>
      <c r="I23" s="27" t="n">
        <v>0</v>
      </c>
      <c r="J23" s="27" t="n">
        <v>0</v>
      </c>
      <c r="K23" s="27" t="n">
        <v>1870000</v>
      </c>
      <c r="L23" s="27" t="n">
        <v>0</v>
      </c>
      <c r="M23" s="27" t="n">
        <v>0</v>
      </c>
      <c r="N23" s="27" t="n">
        <v>0</v>
      </c>
    </row>
    <row r="24" customFormat="false" ht="15.75" hidden="false" customHeight="true" outlineLevel="0" collapsed="false">
      <c r="A24" s="12" t="s">
        <v>46</v>
      </c>
      <c r="B24" s="13" t="s">
        <v>47</v>
      </c>
      <c r="C24" s="13" t="s">
        <v>48</v>
      </c>
      <c r="D24" s="14" t="n">
        <v>45986</v>
      </c>
      <c r="E24" s="14" t="n">
        <v>46046</v>
      </c>
      <c r="F24" s="15" t="n">
        <v>2450000</v>
      </c>
      <c r="G24" s="15" t="n">
        <v>1225000</v>
      </c>
      <c r="H24" s="15" t="n">
        <v>1225000</v>
      </c>
      <c r="I24" s="15" t="n">
        <v>1225000</v>
      </c>
      <c r="J24" s="15" t="n">
        <v>0</v>
      </c>
      <c r="K24" s="15" t="n">
        <v>0</v>
      </c>
      <c r="L24" s="15" t="n">
        <v>0</v>
      </c>
      <c r="M24" s="15" t="n">
        <v>0</v>
      </c>
      <c r="N24" s="15" t="n">
        <v>0</v>
      </c>
    </row>
    <row r="25" customFormat="false" ht="15.75" hidden="false" customHeight="true" outlineLevel="0" collapsed="false">
      <c r="A25" s="16" t="s">
        <v>49</v>
      </c>
      <c r="B25" s="17" t="s">
        <v>50</v>
      </c>
      <c r="C25" s="17" t="s">
        <v>51</v>
      </c>
      <c r="D25" s="18" t="n">
        <v>45920</v>
      </c>
      <c r="E25" s="18" t="n">
        <v>45950</v>
      </c>
      <c r="F25" s="19" t="n">
        <v>1340000</v>
      </c>
      <c r="G25" s="19" t="n">
        <v>0</v>
      </c>
      <c r="H25" s="19" t="n">
        <v>1340000</v>
      </c>
      <c r="I25" s="19" t="n">
        <v>0</v>
      </c>
      <c r="J25" s="19" t="n">
        <v>0</v>
      </c>
      <c r="K25" s="19" t="n">
        <v>0</v>
      </c>
      <c r="L25" s="19" t="n">
        <v>1340000</v>
      </c>
      <c r="M25" s="19" t="n">
        <v>0</v>
      </c>
      <c r="N25" s="19" t="n">
        <v>0</v>
      </c>
    </row>
    <row r="26" customFormat="false" ht="15.75" hidden="false" customHeight="true" outlineLevel="0" collapsed="false">
      <c r="A26" s="20" t="s">
        <v>49</v>
      </c>
      <c r="B26" s="21" t="s">
        <v>50</v>
      </c>
      <c r="C26" s="21" t="s">
        <v>51</v>
      </c>
      <c r="D26" s="22" t="n">
        <v>45853</v>
      </c>
      <c r="E26" s="22" t="n">
        <v>45883</v>
      </c>
      <c r="F26" s="23" t="n">
        <v>560000</v>
      </c>
      <c r="G26" s="23" t="n">
        <v>0</v>
      </c>
      <c r="H26" s="23" t="n">
        <v>560000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560000</v>
      </c>
    </row>
    <row r="27" customFormat="false" ht="18" hidden="false" customHeight="true" outlineLevel="0" collapsed="false">
      <c r="A27" s="28" t="s">
        <v>52</v>
      </c>
      <c r="B27" s="28"/>
      <c r="C27" s="28"/>
      <c r="D27" s="28"/>
      <c r="E27" s="28"/>
      <c r="F27" s="29" t="n">
        <f aca="false">SUM(F4:F26)</f>
        <v>39690000</v>
      </c>
      <c r="G27" s="29" t="n">
        <f aca="false">SUM(G4:G26)</f>
        <v>9445000</v>
      </c>
      <c r="H27" s="29" t="n">
        <f aca="false">SUM(H4:H26)</f>
        <v>30245000</v>
      </c>
      <c r="I27" s="29" t="n">
        <f aca="false">SUM(I4:I26)</f>
        <v>18705000</v>
      </c>
      <c r="J27" s="29" t="n">
        <f aca="false">SUM(J4:J26)</f>
        <v>2550000</v>
      </c>
      <c r="K27" s="29" t="n">
        <f aca="false">SUM(K4:K26)</f>
        <v>3320000</v>
      </c>
      <c r="L27" s="29" t="n">
        <f aca="false">SUM(L4:L26)</f>
        <v>3550000</v>
      </c>
      <c r="M27" s="29" t="n">
        <f aca="false">SUM(M4:M26)</f>
        <v>1560000</v>
      </c>
      <c r="N27" s="29" t="n">
        <f aca="false">SUM(N4:N26)</f>
        <v>560000</v>
      </c>
    </row>
  </sheetData>
  <mergeCells count="3">
    <mergeCell ref="A1:N1"/>
    <mergeCell ref="A2:N2"/>
    <mergeCell ref="A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8"/>
  </cols>
  <sheetData>
    <row r="1" customFormat="false" ht="27.75" hidden="false" customHeight="true" outlineLevel="0" collapsed="false">
      <c r="A1" s="30" t="s">
        <v>53</v>
      </c>
      <c r="B1" s="30"/>
      <c r="C1" s="30"/>
      <c r="D1" s="30"/>
    </row>
    <row r="2" customFormat="false" ht="19.5" hidden="false" customHeight="true" outlineLevel="0" collapsed="false">
      <c r="A2" s="31" t="s">
        <v>54</v>
      </c>
      <c r="B2" s="31" t="s">
        <v>55</v>
      </c>
      <c r="C2" s="31" t="s">
        <v>56</v>
      </c>
      <c r="D2" s="31" t="s">
        <v>57</v>
      </c>
    </row>
    <row r="3" customFormat="false" ht="18" hidden="false" customHeight="true" outlineLevel="0" collapsed="false">
      <c r="A3" s="32" t="s">
        <v>10</v>
      </c>
      <c r="B3" s="33" t="n">
        <v>18705000</v>
      </c>
      <c r="C3" s="34" t="n">
        <v>0.618449330467846</v>
      </c>
      <c r="D3" s="35" t="s">
        <v>58</v>
      </c>
    </row>
    <row r="4" customFormat="false" ht="18" hidden="false" customHeight="true" outlineLevel="0" collapsed="false">
      <c r="A4" s="36" t="s">
        <v>59</v>
      </c>
      <c r="B4" s="37" t="n">
        <v>2550000</v>
      </c>
      <c r="C4" s="38" t="n">
        <v>0.0843114564390808</v>
      </c>
      <c r="D4" s="39" t="s">
        <v>58</v>
      </c>
    </row>
    <row r="5" customFormat="false" ht="18" hidden="false" customHeight="true" outlineLevel="0" collapsed="false">
      <c r="A5" s="25" t="s">
        <v>60</v>
      </c>
      <c r="B5" s="27" t="n">
        <v>3320000</v>
      </c>
      <c r="C5" s="40" t="n">
        <v>0.109770209952058</v>
      </c>
      <c r="D5" s="41" t="s">
        <v>61</v>
      </c>
    </row>
    <row r="6" customFormat="false" ht="18" hidden="false" customHeight="true" outlineLevel="0" collapsed="false">
      <c r="A6" s="17" t="s">
        <v>62</v>
      </c>
      <c r="B6" s="19" t="n">
        <v>3550000</v>
      </c>
      <c r="C6" s="42" t="n">
        <v>0.117374772689701</v>
      </c>
      <c r="D6" s="43" t="s">
        <v>61</v>
      </c>
    </row>
    <row r="7" customFormat="false" ht="18" hidden="false" customHeight="true" outlineLevel="0" collapsed="false">
      <c r="A7" s="21" t="s">
        <v>63</v>
      </c>
      <c r="B7" s="23" t="n">
        <v>1560000</v>
      </c>
      <c r="C7" s="44" t="n">
        <v>0.0515787733509671</v>
      </c>
      <c r="D7" s="45" t="s">
        <v>64</v>
      </c>
    </row>
    <row r="8" customFormat="false" ht="18" hidden="false" customHeight="true" outlineLevel="0" collapsed="false">
      <c r="A8" s="46" t="s">
        <v>65</v>
      </c>
      <c r="B8" s="47" t="n">
        <v>560000</v>
      </c>
      <c r="C8" s="48" t="n">
        <v>0.0185154571003472</v>
      </c>
      <c r="D8" s="49" t="s">
        <v>66</v>
      </c>
    </row>
    <row r="9" customFormat="false" ht="19.5" hidden="false" customHeight="true" outlineLevel="0" collapsed="false">
      <c r="A9" s="28" t="s">
        <v>52</v>
      </c>
      <c r="B9" s="50" t="n">
        <v>30245000</v>
      </c>
      <c r="C9" s="51" t="n">
        <v>1</v>
      </c>
      <c r="D9" s="52" t="s">
        <v>67</v>
      </c>
    </row>
    <row r="11" customFormat="false" ht="11.15" hidden="false" customHeight="false" outlineLevel="0" collapsed="false">
      <c r="A11" s="53" t="s">
        <v>68</v>
      </c>
      <c r="B11" s="53"/>
      <c r="C11" s="53"/>
      <c r="D11" s="53"/>
    </row>
  </sheetData>
  <mergeCells count="2">
    <mergeCell ref="A1:D1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2026-04-14T23:33:51Z</dcterms:created>
  <dc:creator>openpyxl</dc:creator>
  <dc:description/>
  <dc:language>en-US</dc:language>
  <cp:lastModifiedBy/>
  <dcterms:modified xsi:type="dcterms:W3CDTF">2026-04-14T23:33:51Z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